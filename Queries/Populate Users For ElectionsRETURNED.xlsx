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K8" i="1"/>
  <c r="K9"/>
  <c r="K10"/>
  <c r="K11"/>
  <c r="K12"/>
  <c r="K13"/>
  <c r="K14"/>
  <c r="K15"/>
  <c r="K16"/>
  <c r="K17"/>
  <c r="K18"/>
  <c r="K19"/>
  <c r="K20"/>
  <c r="K3"/>
  <c r="K4"/>
  <c r="K5"/>
  <c r="K6"/>
  <c r="K2"/>
  <c r="K7"/>
  <c r="J2"/>
  <c r="I2"/>
  <c r="A3" l="1"/>
  <c r="A4" l="1"/>
  <c r="I3"/>
  <c r="J3"/>
  <c r="A5" l="1"/>
  <c r="J4"/>
  <c r="I4"/>
  <c r="A6" l="1"/>
  <c r="I5"/>
  <c r="J5"/>
  <c r="A7" l="1"/>
  <c r="J6"/>
  <c r="I6"/>
  <c r="A8" l="1"/>
  <c r="I7"/>
  <c r="J7"/>
  <c r="A9" l="1"/>
  <c r="J8"/>
  <c r="I8"/>
  <c r="A10" l="1"/>
  <c r="I9"/>
  <c r="J9"/>
  <c r="A11" l="1"/>
  <c r="J10"/>
  <c r="I10"/>
  <c r="A12" l="1"/>
  <c r="I11"/>
  <c r="J11"/>
  <c r="A13" l="1"/>
  <c r="J12"/>
  <c r="I12"/>
  <c r="A14" l="1"/>
  <c r="I13"/>
  <c r="J13"/>
  <c r="A15" l="1"/>
  <c r="J14"/>
  <c r="I14"/>
  <c r="A16" l="1"/>
  <c r="I15"/>
  <c r="J15"/>
  <c r="A17" l="1"/>
  <c r="J16"/>
  <c r="I16"/>
  <c r="A18" l="1"/>
  <c r="I17"/>
  <c r="J17"/>
  <c r="A19" l="1"/>
  <c r="J18"/>
  <c r="I18"/>
  <c r="A20" l="1"/>
  <c r="I19"/>
  <c r="J19"/>
  <c r="J20" l="1"/>
  <c r="I20"/>
</calcChain>
</file>

<file path=xl/sharedStrings.xml><?xml version="1.0" encoding="utf-8"?>
<sst xmlns="http://schemas.openxmlformats.org/spreadsheetml/2006/main" count="103" uniqueCount="84">
  <si>
    <t>010001</t>
  </si>
  <si>
    <t>010002</t>
  </si>
  <si>
    <t>020001</t>
  </si>
  <si>
    <t>030001</t>
  </si>
  <si>
    <t>030002</t>
  </si>
  <si>
    <t>030003</t>
  </si>
  <si>
    <t>040001</t>
  </si>
  <si>
    <t>040002</t>
  </si>
  <si>
    <t>060001</t>
  </si>
  <si>
    <t>060002</t>
  </si>
  <si>
    <t>060003</t>
  </si>
  <si>
    <t>070001</t>
  </si>
  <si>
    <t>070002</t>
  </si>
  <si>
    <t>080001</t>
  </si>
  <si>
    <t>090001</t>
  </si>
  <si>
    <t>100001</t>
  </si>
  <si>
    <t>110011</t>
  </si>
  <si>
    <t>120012</t>
  </si>
  <si>
    <t>050001</t>
  </si>
  <si>
    <t>Office Of The Deputy Commissioner (Elections), West Jaintia Hills,Jowai</t>
  </si>
  <si>
    <t>Office Of The Sub Divisional Officer (Civil), Amlarem</t>
  </si>
  <si>
    <t>Office Of The Deputy Commissioner (Elections), Ri Bhoi,Nongpoh</t>
  </si>
  <si>
    <t>Office Of The Deputy Commissioner (Elections), East Khasi Hills,Shillong</t>
  </si>
  <si>
    <t>Office Of The Sub Divisional Officer (Civil), Pynursla</t>
  </si>
  <si>
    <t>Office Of The Sub Divisional Officer (Civil), Sohra</t>
  </si>
  <si>
    <t>Office Of The Deputy Commissioner (Elections), West Khasi Hills,Nongstoin</t>
  </si>
  <si>
    <t>Sub Divisional Officer (Civil), Mawshynrut</t>
  </si>
  <si>
    <t>Office Of The Deputy Commissioner (Elections), West Garo Hills,Tura</t>
  </si>
  <si>
    <t>Office Of The Sub Divisional Officer (Civil), Dadenggre</t>
  </si>
  <si>
    <t>Office Of The Sub Divisional Officer (Civil), Raksamgre</t>
  </si>
  <si>
    <t>Office Of The Deputy Commissioner (Elections), South Garo Hills,Baghmara</t>
  </si>
  <si>
    <t>Office Of The Sub Divisional Officer (Civil), Chokpot</t>
  </si>
  <si>
    <t>Office Of The Deputy Commissioner (Elections), East Jaintia Hills,Khliehriat</t>
  </si>
  <si>
    <t>Office Of The Deputy Commissioner (Elections), South West Khasi Hills,Mawkyrwat</t>
  </si>
  <si>
    <t>Office Of The Deputy Commissioner (Elections), North Garo Hills,Resubelpara</t>
  </si>
  <si>
    <t>Office Of The Deputy Commissioner (Elections), South West Garo Hills,Ampati</t>
  </si>
  <si>
    <t>Office Of The Deputy Commissioner (Elections), Eastern West Khasi Hills,Mairang</t>
  </si>
  <si>
    <t>Office Of The Deputy Commissioner (Elections), East Garo Hills,Williamnagar</t>
  </si>
  <si>
    <t>SL NO</t>
  </si>
  <si>
    <t>OFFICE CODE</t>
  </si>
  <si>
    <t>OFFICE NAME</t>
  </si>
  <si>
    <t>FULL NAME</t>
  </si>
  <si>
    <t xml:space="preserve">PASSWORD </t>
  </si>
  <si>
    <t>MOBILE NO</t>
  </si>
  <si>
    <t>DESIGNATION</t>
  </si>
  <si>
    <t>EMAIL ID</t>
  </si>
  <si>
    <t>Smti Goldene Kharmalki</t>
  </si>
  <si>
    <t>goldene.kharmalki@gmail.com</t>
  </si>
  <si>
    <t>ASE</t>
  </si>
  <si>
    <t>Smti Fairlycia Mary War</t>
  </si>
  <si>
    <t>feliwarjri@yahoo.in</t>
  </si>
  <si>
    <t>mailcjosh@yahoo.com</t>
  </si>
  <si>
    <t>asemkwt@gmail.com</t>
  </si>
  <si>
    <t>georgie_wj@yahoo.com</t>
  </si>
  <si>
    <t>maycordelia@yahoo.com</t>
  </si>
  <si>
    <t>ronal_kh@yahoo.com</t>
  </si>
  <si>
    <t>manbhasynrem@gmail.com</t>
  </si>
  <si>
    <t>susan1k@yahoo.com</t>
  </si>
  <si>
    <t>ioh.diengdoh@gmail.com</t>
  </si>
  <si>
    <t>feney.shabong@gmail.com</t>
  </si>
  <si>
    <t>dkharkyrshan22@gmail.com</t>
  </si>
  <si>
    <t>chengit25@gmail.com</t>
  </si>
  <si>
    <t>jr_marak@yahoo.co.in</t>
  </si>
  <si>
    <t>swarup_banai@yahoo.co.in</t>
  </si>
  <si>
    <t>deramunmomin@gmail.com</t>
  </si>
  <si>
    <t>sangma.tangman@outlook.com</t>
  </si>
  <si>
    <t>elim.marak@gmail.com</t>
  </si>
  <si>
    <t>Shri Chiranjib Joshua Kharshiing</t>
  </si>
  <si>
    <t>Shri Hardy Nelson Diengdoh</t>
  </si>
  <si>
    <t>Shri George William Jyrwa</t>
  </si>
  <si>
    <t>Smti. Maycordelia Lyngwa</t>
  </si>
  <si>
    <t>Shri Ronald R. Kharmujai</t>
  </si>
  <si>
    <t>Shri Manbha Synrem</t>
  </si>
  <si>
    <t>Smti Balatipbha Warjri</t>
  </si>
  <si>
    <t>Shri Iohbor Diengdoh</t>
  </si>
  <si>
    <t>Shri Feneyo Evolite Shabong</t>
  </si>
  <si>
    <t>Shri Kyrshanlang R. Dkhar</t>
  </si>
  <si>
    <t>Shri Chengit Shira</t>
  </si>
  <si>
    <t>Shri Jackie Rangsha Marak</t>
  </si>
  <si>
    <t>Shri Swarupananda Banai</t>
  </si>
  <si>
    <t>Shri Deramun Ch. Momin</t>
  </si>
  <si>
    <t>Shri Tangman Sangma</t>
  </si>
  <si>
    <t>Shri Elimer M. Marak</t>
  </si>
  <si>
    <t>electiontura@gmail.com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</si>
</sst>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top" shrinkToFit="1"/>
    </xf>
    <xf numFmtId="0" fontId="3" fillId="0" borderId="0" xfId="0" applyFont="1" applyAlignment="1">
      <alignment vertical="top" shrinkToFit="1"/>
    </xf>
    <xf numFmtId="0" fontId="2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1" fillId="0" borderId="1" xfId="1" applyBorder="1" applyAlignment="1" applyProtection="1">
      <alignment vertical="top" wrapText="1"/>
    </xf>
    <xf numFmtId="0" fontId="0" fillId="0" borderId="1" xfId="0" applyBorder="1"/>
    <xf numFmtId="0" fontId="4" fillId="0" borderId="1" xfId="0" applyFont="1" applyBorder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eorgie_wj@yahoo.com" TargetMode="External"/><Relationship Id="rId2" Type="http://schemas.openxmlformats.org/officeDocument/2006/relationships/hyperlink" Target="mailto:feliwarjri@yahoo.in" TargetMode="External"/><Relationship Id="rId1" Type="http://schemas.openxmlformats.org/officeDocument/2006/relationships/hyperlink" Target="mailto:goldene.kharmalki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topLeftCell="B1" workbookViewId="0">
      <selection activeCell="K1" sqref="K1:K1048576"/>
    </sheetView>
  </sheetViews>
  <sheetFormatPr defaultRowHeight="12.75"/>
  <cols>
    <col min="1" max="1" width="5.7109375" style="2" bestFit="1" customWidth="1"/>
    <col min="2" max="2" width="11" style="3" customWidth="1"/>
    <col min="3" max="3" width="44.85546875" style="2" customWidth="1"/>
    <col min="4" max="4" width="23.28515625" style="2" customWidth="1"/>
    <col min="5" max="5" width="34.140625" style="2" customWidth="1"/>
    <col min="6" max="6" width="15.7109375" style="2" customWidth="1"/>
    <col min="7" max="7" width="12.42578125" style="2" bestFit="1" customWidth="1"/>
    <col min="8" max="8" width="15.7109375" style="2" customWidth="1"/>
    <col min="9" max="9" width="9.140625" style="5"/>
    <col min="10" max="16384" width="9.140625" style="2"/>
  </cols>
  <sheetData>
    <row r="1" spans="1:11" s="1" customFormat="1">
      <c r="A1" s="6" t="s">
        <v>38</v>
      </c>
      <c r="B1" s="7" t="s">
        <v>39</v>
      </c>
      <c r="C1" s="6" t="s">
        <v>40</v>
      </c>
      <c r="D1" s="6" t="s">
        <v>41</v>
      </c>
      <c r="E1" s="6" t="s">
        <v>45</v>
      </c>
      <c r="F1" s="6" t="s">
        <v>42</v>
      </c>
      <c r="G1" s="6" t="s">
        <v>43</v>
      </c>
      <c r="H1" s="6" t="s">
        <v>44</v>
      </c>
      <c r="I1" s="4"/>
    </row>
    <row r="2" spans="1:11" ht="89.25">
      <c r="A2" s="8">
        <v>2</v>
      </c>
      <c r="B2" s="9" t="s">
        <v>0</v>
      </c>
      <c r="C2" s="8" t="s">
        <v>19</v>
      </c>
      <c r="D2" s="8" t="s">
        <v>46</v>
      </c>
      <c r="E2" s="10" t="s">
        <v>47</v>
      </c>
      <c r="F2" s="8">
        <v>8259055949</v>
      </c>
      <c r="G2" s="8">
        <v>8259055949</v>
      </c>
      <c r="H2" s="8" t="s">
        <v>48</v>
      </c>
      <c r="I2" s="5" t="str">
        <f>" INSERT INTO USERS.USERACCOUNTS VALUES ("
&amp; A2 &amp; ","
&amp; "'" &amp; D2 &amp; "',"
&amp; "'" &amp; E2 &amp; "',"
&amp;  "'" &amp; F2 &amp; "',"
&amp; "'" &amp; G2 &amp; "','Y',"
&amp; "'" &amp; H2 &amp; "');"</f>
        <v xml:space="preserve"> INSERT INTO USERS.USERACCOUNTS VALUES (2,'Smti Goldene Kharmalki','goldene.kharmalki@gmail.com','8259055949','8259055949','Y','ASE');</v>
      </c>
      <c r="J2" s="2" t="str">
        <f>" INSERT INTO USERS.USEROFFICES VALUES (" &amp; A2 &amp; ",'" &amp; B2 &amp; "'," &amp; A2 &amp; ");"</f>
        <v xml:space="preserve"> INSERT INTO USERS.USEROFFICES VALUES (2,'010001',2);</v>
      </c>
      <c r="K2" s="2" t="str">
        <f>"'" &amp;E2 &amp; "',"</f>
        <v>'goldene.kharmalki@gmail.com',</v>
      </c>
    </row>
    <row r="3" spans="1:11" ht="89.25">
      <c r="A3" s="8">
        <f>A2+1</f>
        <v>3</v>
      </c>
      <c r="B3" s="9" t="s">
        <v>1</v>
      </c>
      <c r="C3" s="8" t="s">
        <v>20</v>
      </c>
      <c r="D3" s="8" t="s">
        <v>49</v>
      </c>
      <c r="E3" s="10" t="s">
        <v>50</v>
      </c>
      <c r="F3" s="12">
        <v>7308137500</v>
      </c>
      <c r="G3" s="12">
        <v>7308137500</v>
      </c>
      <c r="H3" s="8" t="s">
        <v>48</v>
      </c>
      <c r="I3" s="5" t="str">
        <f t="shared" ref="I3:I20" si="0">" INSERT INTO USERS.USERACCOUNTS VALUES ("
&amp; A3 &amp; ","
&amp; "'" &amp; D3 &amp; "',"
&amp; "'" &amp; E3 &amp; "',"
&amp;  "'" &amp; F3 &amp; "',"
&amp; "'" &amp; G3 &amp; "','Y',"
&amp; "'" &amp; H3 &amp; "');"</f>
        <v xml:space="preserve"> INSERT INTO USERS.USERACCOUNTS VALUES (3,'Smti Fairlycia Mary War','feliwarjri@yahoo.in','7308137500','7308137500','Y','ASE');</v>
      </c>
      <c r="J3" s="2" t="str">
        <f t="shared" ref="J3:J20" si="1">" INSERT INTO USERS.USEROFFICES VALUES (" &amp; A3 &amp; ",'" &amp; B3 &amp; "'," &amp; A3 &amp; ");"</f>
        <v xml:space="preserve"> INSERT INTO USERS.USEROFFICES VALUES (3,'010002',3);</v>
      </c>
      <c r="K3" s="2" t="str">
        <f t="shared" ref="K3:K6" si="2">"'" &amp;E3 &amp; "',"</f>
        <v>'feliwarjri@yahoo.in',</v>
      </c>
    </row>
    <row r="4" spans="1:11" ht="89.25">
      <c r="A4" s="8">
        <f t="shared" ref="A4:A20" si="3">A3+1</f>
        <v>4</v>
      </c>
      <c r="B4" s="9" t="s">
        <v>2</v>
      </c>
      <c r="C4" s="8" t="s">
        <v>21</v>
      </c>
      <c r="D4" s="11" t="s">
        <v>68</v>
      </c>
      <c r="E4" s="11" t="s">
        <v>52</v>
      </c>
      <c r="F4" s="11">
        <v>9856088128</v>
      </c>
      <c r="G4" s="11">
        <v>9856088128</v>
      </c>
      <c r="H4" s="8" t="s">
        <v>48</v>
      </c>
      <c r="I4" s="5" t="str">
        <f t="shared" si="0"/>
        <v xml:space="preserve"> INSERT INTO USERS.USERACCOUNTS VALUES (4,'Shri Hardy Nelson Diengdoh','asemkwt@gmail.com','9856088128','9856088128','Y','ASE');</v>
      </c>
      <c r="J4" s="2" t="str">
        <f t="shared" si="1"/>
        <v xml:space="preserve"> INSERT INTO USERS.USEROFFICES VALUES (4,'020001',4);</v>
      </c>
      <c r="K4" s="2" t="str">
        <f t="shared" si="2"/>
        <v>'asemkwt@gmail.com',</v>
      </c>
    </row>
    <row r="5" spans="1:11" ht="89.25">
      <c r="A5" s="8">
        <f t="shared" si="3"/>
        <v>5</v>
      </c>
      <c r="B5" s="9" t="s">
        <v>3</v>
      </c>
      <c r="C5" s="8" t="s">
        <v>22</v>
      </c>
      <c r="D5" s="11" t="s">
        <v>69</v>
      </c>
      <c r="E5" s="13" t="s">
        <v>53</v>
      </c>
      <c r="F5" s="11">
        <v>9615024881</v>
      </c>
      <c r="G5" s="11">
        <v>9615024881</v>
      </c>
      <c r="H5" s="8" t="s">
        <v>48</v>
      </c>
      <c r="I5" s="5" t="str">
        <f t="shared" si="0"/>
        <v xml:space="preserve"> INSERT INTO USERS.USERACCOUNTS VALUES (5,'Shri George William Jyrwa','georgie_wj@yahoo.com','9615024881','9615024881','Y','ASE');</v>
      </c>
      <c r="J5" s="2" t="str">
        <f t="shared" si="1"/>
        <v xml:space="preserve"> INSERT INTO USERS.USEROFFICES VALUES (5,'030001',5);</v>
      </c>
      <c r="K5" s="2" t="str">
        <f t="shared" si="2"/>
        <v>'georgie_wj@yahoo.com',</v>
      </c>
    </row>
    <row r="6" spans="1:11" ht="89.25">
      <c r="A6" s="8">
        <f t="shared" si="3"/>
        <v>6</v>
      </c>
      <c r="B6" s="9" t="s">
        <v>4</v>
      </c>
      <c r="C6" s="8" t="s">
        <v>23</v>
      </c>
      <c r="D6" s="11" t="s">
        <v>75</v>
      </c>
      <c r="E6" s="11" t="s">
        <v>59</v>
      </c>
      <c r="F6" s="11">
        <v>9863189181</v>
      </c>
      <c r="G6" s="11">
        <v>9863189181</v>
      </c>
      <c r="H6" s="8" t="s">
        <v>48</v>
      </c>
      <c r="I6" s="5" t="str">
        <f t="shared" si="0"/>
        <v xml:space="preserve"> INSERT INTO USERS.USERACCOUNTS VALUES (6,'Shri Feneyo Evolite Shabong','feney.shabong@gmail.com','9863189181','9863189181','Y','ASE');</v>
      </c>
      <c r="J6" s="2" t="str">
        <f t="shared" si="1"/>
        <v xml:space="preserve"> INSERT INTO USERS.USEROFFICES VALUES (6,'030002',6);</v>
      </c>
      <c r="K6" s="2" t="str">
        <f t="shared" si="2"/>
        <v>'feney.shabong@gmail.com',</v>
      </c>
    </row>
    <row r="7" spans="1:11" ht="89.25">
      <c r="A7" s="8">
        <f t="shared" si="3"/>
        <v>7</v>
      </c>
      <c r="B7" s="9" t="s">
        <v>5</v>
      </c>
      <c r="C7" s="8" t="s">
        <v>24</v>
      </c>
      <c r="D7" s="11" t="s">
        <v>70</v>
      </c>
      <c r="E7" s="11" t="s">
        <v>54</v>
      </c>
      <c r="F7" s="11">
        <v>9615977569</v>
      </c>
      <c r="G7" s="11">
        <v>9615977569</v>
      </c>
      <c r="H7" s="8" t="s">
        <v>48</v>
      </c>
      <c r="I7" s="5" t="str">
        <f t="shared" si="0"/>
        <v xml:space="preserve"> INSERT INTO USERS.USERACCOUNTS VALUES (7,'Smti. Maycordelia Lyngwa','maycordelia@yahoo.com','9615977569','9615977569','Y','ASE');</v>
      </c>
      <c r="J7" s="2" t="str">
        <f t="shared" si="1"/>
        <v xml:space="preserve"> INSERT INTO USERS.USEROFFICES VALUES (7,'030003',7);</v>
      </c>
      <c r="K7" s="2" t="str">
        <f>"'" &amp;E7 &amp; "',"</f>
        <v>'maycordelia@yahoo.com',</v>
      </c>
    </row>
    <row r="8" spans="1:11" ht="89.25">
      <c r="A8" s="8">
        <f t="shared" si="3"/>
        <v>8</v>
      </c>
      <c r="B8" s="9" t="s">
        <v>6</v>
      </c>
      <c r="C8" s="8" t="s">
        <v>25</v>
      </c>
      <c r="D8" s="11" t="s">
        <v>71</v>
      </c>
      <c r="E8" s="11" t="s">
        <v>55</v>
      </c>
      <c r="F8" s="11">
        <v>8974592961</v>
      </c>
      <c r="G8" s="11">
        <v>8974592961</v>
      </c>
      <c r="H8" s="8" t="s">
        <v>48</v>
      </c>
      <c r="I8" s="5" t="str">
        <f t="shared" si="0"/>
        <v xml:space="preserve"> INSERT INTO USERS.USERACCOUNTS VALUES (8,'Shri Ronald R. Kharmujai','ronal_kh@yahoo.com','8974592961','8974592961','Y','ASE');</v>
      </c>
      <c r="J8" s="2" t="str">
        <f t="shared" si="1"/>
        <v xml:space="preserve"> INSERT INTO USERS.USEROFFICES VALUES (8,'040001',8);</v>
      </c>
      <c r="K8" s="2" t="str">
        <f t="shared" ref="K8:K20" si="4">"'" &amp;E8 &amp; "',"</f>
        <v>'ronal_kh@yahoo.com',</v>
      </c>
    </row>
    <row r="9" spans="1:11" ht="89.25">
      <c r="A9" s="8">
        <f t="shared" si="3"/>
        <v>9</v>
      </c>
      <c r="B9" s="9" t="s">
        <v>7</v>
      </c>
      <c r="C9" s="8" t="s">
        <v>26</v>
      </c>
      <c r="D9" s="11" t="s">
        <v>72</v>
      </c>
      <c r="E9" s="11" t="s">
        <v>56</v>
      </c>
      <c r="F9" s="11">
        <v>8974216131</v>
      </c>
      <c r="G9" s="11">
        <v>8974216131</v>
      </c>
      <c r="H9" s="8" t="s">
        <v>48</v>
      </c>
      <c r="I9" s="5" t="str">
        <f t="shared" si="0"/>
        <v xml:space="preserve"> INSERT INTO USERS.USERACCOUNTS VALUES (9,'Shri Manbha Synrem','manbhasynrem@gmail.com','8974216131','8974216131','Y','ASE');</v>
      </c>
      <c r="J9" s="2" t="str">
        <f t="shared" si="1"/>
        <v xml:space="preserve"> INSERT INTO USERS.USEROFFICES VALUES (9,'040002',9);</v>
      </c>
      <c r="K9" s="2" t="str">
        <f t="shared" si="4"/>
        <v>'manbhasynrem@gmail.com',</v>
      </c>
    </row>
    <row r="10" spans="1:11" ht="89.25">
      <c r="A10" s="8">
        <f t="shared" si="3"/>
        <v>10</v>
      </c>
      <c r="B10" s="9" t="s">
        <v>8</v>
      </c>
      <c r="C10" s="8" t="s">
        <v>27</v>
      </c>
      <c r="D10" s="11" t="s">
        <v>78</v>
      </c>
      <c r="E10" s="11" t="s">
        <v>62</v>
      </c>
      <c r="F10" s="11">
        <v>9436316188</v>
      </c>
      <c r="G10" s="11">
        <v>9436316188</v>
      </c>
      <c r="H10" s="8" t="s">
        <v>48</v>
      </c>
      <c r="I10" s="5" t="str">
        <f t="shared" si="0"/>
        <v xml:space="preserve"> INSERT INTO USERS.USERACCOUNTS VALUES (10,'Shri Jackie Rangsha Marak','jr_marak@yahoo.co.in','9436316188','9436316188','Y','ASE');</v>
      </c>
      <c r="J10" s="2" t="str">
        <f t="shared" si="1"/>
        <v xml:space="preserve"> INSERT INTO USERS.USEROFFICES VALUES (10,'060001',10);</v>
      </c>
      <c r="K10" s="2" t="str">
        <f t="shared" si="4"/>
        <v>'jr_marak@yahoo.co.in',</v>
      </c>
    </row>
    <row r="11" spans="1:11" ht="89.25">
      <c r="A11" s="8">
        <f t="shared" si="3"/>
        <v>11</v>
      </c>
      <c r="B11" s="9" t="s">
        <v>9</v>
      </c>
      <c r="C11" s="8" t="s">
        <v>28</v>
      </c>
      <c r="D11" s="11" t="s">
        <v>79</v>
      </c>
      <c r="E11" s="11" t="s">
        <v>63</v>
      </c>
      <c r="F11" s="11">
        <v>9612786700</v>
      </c>
      <c r="G11" s="11">
        <v>9612786700</v>
      </c>
      <c r="H11" s="8" t="s">
        <v>48</v>
      </c>
      <c r="I11" s="5" t="str">
        <f t="shared" si="0"/>
        <v xml:space="preserve"> INSERT INTO USERS.USERACCOUNTS VALUES (11,'Shri Swarupananda Banai','swarup_banai@yahoo.co.in','9612786700','9612786700','Y','ASE');</v>
      </c>
      <c r="J11" s="2" t="str">
        <f t="shared" si="1"/>
        <v xml:space="preserve"> INSERT INTO USERS.USEROFFICES VALUES (11,'060002',11);</v>
      </c>
      <c r="K11" s="2" t="str">
        <f t="shared" si="4"/>
        <v>'swarup_banai@yahoo.co.in',</v>
      </c>
    </row>
    <row r="12" spans="1:11" ht="89.25">
      <c r="A12" s="8">
        <f t="shared" si="3"/>
        <v>12</v>
      </c>
      <c r="B12" s="9" t="s">
        <v>10</v>
      </c>
      <c r="C12" s="8" t="s">
        <v>29</v>
      </c>
      <c r="D12" s="11" t="s">
        <v>79</v>
      </c>
      <c r="E12" s="11" t="s">
        <v>83</v>
      </c>
      <c r="F12" s="11">
        <v>7005650293</v>
      </c>
      <c r="G12" s="11">
        <v>7005650293</v>
      </c>
      <c r="H12" s="8" t="s">
        <v>48</v>
      </c>
      <c r="I12" s="5" t="str">
        <f t="shared" si="0"/>
        <v xml:space="preserve"> INSERT INTO USERS.USERACCOUNTS VALUES (12,'Shri Swarupananda Banai','electiontura@gmail.com','7005650293','7005650293','Y','ASE');</v>
      </c>
      <c r="J12" s="2" t="str">
        <f t="shared" si="1"/>
        <v xml:space="preserve"> INSERT INTO USERS.USEROFFICES VALUES (12,'060003',12);</v>
      </c>
      <c r="K12" s="2" t="str">
        <f t="shared" si="4"/>
        <v>'electiontura@gmail.com',</v>
      </c>
    </row>
    <row r="13" spans="1:11" ht="89.25">
      <c r="A13" s="8">
        <f t="shared" si="3"/>
        <v>13</v>
      </c>
      <c r="B13" s="9" t="s">
        <v>11</v>
      </c>
      <c r="C13" s="8" t="s">
        <v>30</v>
      </c>
      <c r="D13" s="11" t="s">
        <v>81</v>
      </c>
      <c r="E13" s="11" t="s">
        <v>65</v>
      </c>
      <c r="F13" s="11">
        <v>8132900549</v>
      </c>
      <c r="G13" s="11">
        <v>8132900549</v>
      </c>
      <c r="H13" s="8" t="s">
        <v>48</v>
      </c>
      <c r="I13" s="5" t="str">
        <f t="shared" si="0"/>
        <v xml:space="preserve"> INSERT INTO USERS.USERACCOUNTS VALUES (13,'Shri Tangman Sangma','sangma.tangman@outlook.com','8132900549','8132900549','Y','ASE');</v>
      </c>
      <c r="J13" s="2" t="str">
        <f t="shared" si="1"/>
        <v xml:space="preserve"> INSERT INTO USERS.USEROFFICES VALUES (13,'070001',13);</v>
      </c>
      <c r="K13" s="2" t="str">
        <f t="shared" si="4"/>
        <v>'sangma.tangman@outlook.com',</v>
      </c>
    </row>
    <row r="14" spans="1:11" ht="89.25">
      <c r="A14" s="8">
        <f t="shared" si="3"/>
        <v>14</v>
      </c>
      <c r="B14" s="9" t="s">
        <v>12</v>
      </c>
      <c r="C14" s="8" t="s">
        <v>31</v>
      </c>
      <c r="D14" s="11" t="s">
        <v>82</v>
      </c>
      <c r="E14" s="11" t="s">
        <v>66</v>
      </c>
      <c r="F14" s="11">
        <v>8837356799</v>
      </c>
      <c r="G14" s="11">
        <v>8837356799</v>
      </c>
      <c r="H14" s="8" t="s">
        <v>48</v>
      </c>
      <c r="I14" s="5" t="str">
        <f t="shared" si="0"/>
        <v xml:space="preserve"> INSERT INTO USERS.USERACCOUNTS VALUES (14,'Shri Elimer M. Marak','elim.marak@gmail.com','8837356799','8837356799','Y','ASE');</v>
      </c>
      <c r="J14" s="2" t="str">
        <f t="shared" si="1"/>
        <v xml:space="preserve"> INSERT INTO USERS.USEROFFICES VALUES (14,'070002',14);</v>
      </c>
      <c r="K14" s="2" t="str">
        <f t="shared" si="4"/>
        <v>'elim.marak@gmail.com',</v>
      </c>
    </row>
    <row r="15" spans="1:11" ht="89.25">
      <c r="A15" s="8">
        <f t="shared" si="3"/>
        <v>15</v>
      </c>
      <c r="B15" s="9" t="s">
        <v>13</v>
      </c>
      <c r="C15" s="8" t="s">
        <v>32</v>
      </c>
      <c r="D15" s="11" t="s">
        <v>67</v>
      </c>
      <c r="E15" s="11" t="s">
        <v>51</v>
      </c>
      <c r="F15" s="11">
        <v>9856041803</v>
      </c>
      <c r="G15" s="11">
        <v>9856041803</v>
      </c>
      <c r="H15" s="8" t="s">
        <v>48</v>
      </c>
      <c r="I15" s="5" t="str">
        <f t="shared" si="0"/>
        <v xml:space="preserve"> INSERT INTO USERS.USERACCOUNTS VALUES (15,'Shri Chiranjib Joshua Kharshiing','mailcjosh@yahoo.com','9856041803','9856041803','Y','ASE');</v>
      </c>
      <c r="J15" s="2" t="str">
        <f t="shared" si="1"/>
        <v xml:space="preserve"> INSERT INTO USERS.USEROFFICES VALUES (15,'080001',15);</v>
      </c>
      <c r="K15" s="2" t="str">
        <f t="shared" si="4"/>
        <v>'mailcjosh@yahoo.com',</v>
      </c>
    </row>
    <row r="16" spans="1:11" ht="89.25">
      <c r="A16" s="8">
        <f t="shared" si="3"/>
        <v>16</v>
      </c>
      <c r="B16" s="9" t="s">
        <v>14</v>
      </c>
      <c r="C16" s="8" t="s">
        <v>33</v>
      </c>
      <c r="D16" s="11" t="s">
        <v>74</v>
      </c>
      <c r="E16" s="11" t="s">
        <v>58</v>
      </c>
      <c r="F16" s="11">
        <v>9615607947</v>
      </c>
      <c r="G16" s="11">
        <v>9615607947</v>
      </c>
      <c r="H16" s="8" t="s">
        <v>48</v>
      </c>
      <c r="I16" s="5" t="str">
        <f t="shared" si="0"/>
        <v xml:space="preserve"> INSERT INTO USERS.USERACCOUNTS VALUES (16,'Shri Iohbor Diengdoh','ioh.diengdoh@gmail.com','9615607947','9615607947','Y','ASE');</v>
      </c>
      <c r="J16" s="2" t="str">
        <f t="shared" si="1"/>
        <v xml:space="preserve"> INSERT INTO USERS.USEROFFICES VALUES (16,'090001',16);</v>
      </c>
      <c r="K16" s="2" t="str">
        <f t="shared" si="4"/>
        <v>'ioh.diengdoh@gmail.com',</v>
      </c>
    </row>
    <row r="17" spans="1:11" ht="89.25">
      <c r="A17" s="8">
        <f t="shared" si="3"/>
        <v>17</v>
      </c>
      <c r="B17" s="9" t="s">
        <v>15</v>
      </c>
      <c r="C17" s="8" t="s">
        <v>34</v>
      </c>
      <c r="D17" s="11" t="s">
        <v>77</v>
      </c>
      <c r="E17" s="11" t="s">
        <v>61</v>
      </c>
      <c r="F17" s="11">
        <v>9612940041</v>
      </c>
      <c r="G17" s="11">
        <v>9612940041</v>
      </c>
      <c r="H17" s="8" t="s">
        <v>48</v>
      </c>
      <c r="I17" s="5" t="str">
        <f t="shared" si="0"/>
        <v xml:space="preserve"> INSERT INTO USERS.USERACCOUNTS VALUES (17,'Shri Chengit Shira','chengit25@gmail.com','9612940041','9612940041','Y','ASE');</v>
      </c>
      <c r="J17" s="2" t="str">
        <f t="shared" si="1"/>
        <v xml:space="preserve"> INSERT INTO USERS.USEROFFICES VALUES (17,'100001',17);</v>
      </c>
      <c r="K17" s="2" t="str">
        <f t="shared" si="4"/>
        <v>'chengit25@gmail.com',</v>
      </c>
    </row>
    <row r="18" spans="1:11" ht="89.25">
      <c r="A18" s="8">
        <f t="shared" si="3"/>
        <v>18</v>
      </c>
      <c r="B18" s="9" t="s">
        <v>16</v>
      </c>
      <c r="C18" s="8" t="s">
        <v>35</v>
      </c>
      <c r="D18" s="11" t="s">
        <v>80</v>
      </c>
      <c r="E18" s="11" t="s">
        <v>64</v>
      </c>
      <c r="F18" s="11">
        <v>9774016463</v>
      </c>
      <c r="G18" s="11">
        <v>9774016463</v>
      </c>
      <c r="H18" s="8" t="s">
        <v>48</v>
      </c>
      <c r="I18" s="5" t="str">
        <f t="shared" si="0"/>
        <v xml:space="preserve"> INSERT INTO USERS.USERACCOUNTS VALUES (18,'Shri Deramun Ch. Momin','deramunmomin@gmail.com','9774016463','9774016463','Y','ASE');</v>
      </c>
      <c r="J18" s="2" t="str">
        <f t="shared" si="1"/>
        <v xml:space="preserve"> INSERT INTO USERS.USEROFFICES VALUES (18,'110011',18);</v>
      </c>
      <c r="K18" s="2" t="str">
        <f t="shared" si="4"/>
        <v>'deramunmomin@gmail.com',</v>
      </c>
    </row>
    <row r="19" spans="1:11" ht="89.25">
      <c r="A19" s="8">
        <f t="shared" si="3"/>
        <v>19</v>
      </c>
      <c r="B19" s="9" t="s">
        <v>17</v>
      </c>
      <c r="C19" s="8" t="s">
        <v>36</v>
      </c>
      <c r="D19" s="11" t="s">
        <v>73</v>
      </c>
      <c r="E19" s="11" t="s">
        <v>57</v>
      </c>
      <c r="F19" s="11">
        <v>9612436257</v>
      </c>
      <c r="G19" s="11">
        <v>9612436257</v>
      </c>
      <c r="H19" s="8" t="s">
        <v>48</v>
      </c>
      <c r="I19" s="5" t="str">
        <f t="shared" si="0"/>
        <v xml:space="preserve"> INSERT INTO USERS.USERACCOUNTS VALUES (19,'Smti Balatipbha Warjri','susan1k@yahoo.com','9612436257','9612436257','Y','ASE');</v>
      </c>
      <c r="J19" s="2" t="str">
        <f t="shared" si="1"/>
        <v xml:space="preserve"> INSERT INTO USERS.USEROFFICES VALUES (19,'120012',19);</v>
      </c>
      <c r="K19" s="2" t="str">
        <f t="shared" si="4"/>
        <v>'susan1k@yahoo.com',</v>
      </c>
    </row>
    <row r="20" spans="1:11" ht="89.25">
      <c r="A20" s="8">
        <f t="shared" si="3"/>
        <v>20</v>
      </c>
      <c r="B20" s="9" t="s">
        <v>18</v>
      </c>
      <c r="C20" s="8" t="s">
        <v>37</v>
      </c>
      <c r="D20" s="11" t="s">
        <v>76</v>
      </c>
      <c r="E20" s="11" t="s">
        <v>60</v>
      </c>
      <c r="F20" s="11">
        <v>7005632836</v>
      </c>
      <c r="G20" s="11">
        <v>7005632836</v>
      </c>
      <c r="H20" s="8" t="s">
        <v>48</v>
      </c>
      <c r="I20" s="5" t="str">
        <f t="shared" si="0"/>
        <v xml:space="preserve"> INSERT INTO USERS.USERACCOUNTS VALUES (20,'Shri Kyrshanlang R. Dkhar','dkharkyrshan22@gmail.com','7005632836','7005632836','Y','ASE');</v>
      </c>
      <c r="J20" s="2" t="str">
        <f t="shared" si="1"/>
        <v xml:space="preserve"> INSERT INTO USERS.USEROFFICES VALUES (20,'050001',20);</v>
      </c>
      <c r="K20" s="2" t="str">
        <f t="shared" si="4"/>
        <v>'dkharkyrshan22@gmail.com',</v>
      </c>
    </row>
  </sheetData>
  <hyperlinks>
    <hyperlink ref="E2" r:id="rId1"/>
    <hyperlink ref="E3" r:id="rId2"/>
    <hyperlink ref="E5" r:id="rId3"/>
  </hyperlinks>
  <pageMargins left="0.7" right="0.7" top="0.75" bottom="0.75" header="0.3" footer="0.3"/>
  <pageSetup paperSize="9" orientation="landscape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2023-12-20T12:11:52Z</dcterms:created>
  <dcterms:modified xsi:type="dcterms:W3CDTF">2024-03-18T05:10:07Z</dcterms:modified>
</cp:coreProperties>
</file>