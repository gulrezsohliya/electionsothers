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20052" windowHeight="6864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2" i="1"/>
  <c r="L3" i="1" l="1"/>
  <c r="L4" i="1"/>
  <c r="L5" i="1"/>
  <c r="L6" i="1"/>
  <c r="L7" i="1"/>
  <c r="L8" i="1"/>
  <c r="L9" i="1"/>
  <c r="L10" i="1"/>
  <c r="L11" i="1"/>
  <c r="L2" i="1"/>
  <c r="I9" i="1" l="1"/>
  <c r="I10" i="1"/>
  <c r="G2" i="1"/>
  <c r="I3" i="1"/>
  <c r="I4" i="1"/>
  <c r="I5" i="1"/>
  <c r="I6" i="1"/>
  <c r="I7" i="1"/>
  <c r="I8" i="1"/>
  <c r="I11" i="1"/>
  <c r="A4" i="1"/>
  <c r="A5" i="1"/>
  <c r="A6" i="1"/>
  <c r="J6" i="1" s="1"/>
  <c r="A7" i="1"/>
  <c r="A8" i="1"/>
  <c r="A9" i="1"/>
  <c r="A10" i="1"/>
  <c r="J10" i="1" s="1"/>
  <c r="A11" i="1"/>
  <c r="A3" i="1"/>
  <c r="J3" i="1"/>
  <c r="J4" i="1"/>
  <c r="J5" i="1"/>
  <c r="J8" i="1"/>
  <c r="J9" i="1"/>
  <c r="E8" i="1"/>
  <c r="E5" i="1"/>
  <c r="I2" i="1"/>
  <c r="J11" i="1" l="1"/>
  <c r="J7" i="1"/>
  <c r="J2" i="1"/>
</calcChain>
</file>

<file path=xl/sharedStrings.xml><?xml version="1.0" encoding="utf-8"?>
<sst xmlns="http://schemas.openxmlformats.org/spreadsheetml/2006/main" count="76" uniqueCount="57">
  <si>
    <t>060001</t>
  </si>
  <si>
    <t>060002</t>
  </si>
  <si>
    <t>060003</t>
  </si>
  <si>
    <t>070001</t>
  </si>
  <si>
    <t>070002</t>
  </si>
  <si>
    <t>100001</t>
  </si>
  <si>
    <t>110011</t>
  </si>
  <si>
    <t>050001</t>
  </si>
  <si>
    <t>Office Of The Deputy Commissioner (Elections), West Garo Hills,Tura</t>
  </si>
  <si>
    <t>Office Of The Sub Divisional Officer (Civil), Dadenggre</t>
  </si>
  <si>
    <t>Office Of The Sub Divisional Officer (Civil), Raksamgre</t>
  </si>
  <si>
    <t>Office Of The Deputy Commissioner (Elections), South Garo Hills,Baghmara</t>
  </si>
  <si>
    <t>Office Of The Sub Divisional Officer (Civil), Chokpot</t>
  </si>
  <si>
    <t>Office Of The Deputy Commissioner (Elections), North Garo Hills,Resubelpara</t>
  </si>
  <si>
    <t>Office Of The Deputy Commissioner (Elections), South West Garo Hills,Ampati</t>
  </si>
  <si>
    <t>Office Of The Deputy Commissioner (Elections), East Garo Hills,Williamnagar</t>
  </si>
  <si>
    <t>A</t>
  </si>
  <si>
    <t>B</t>
  </si>
  <si>
    <t>SL NO</t>
  </si>
  <si>
    <t>OFFICE CODE</t>
  </si>
  <si>
    <t>OFFICE NAME</t>
  </si>
  <si>
    <t>FULL NAME</t>
  </si>
  <si>
    <t xml:space="preserve">PASSWORD </t>
  </si>
  <si>
    <t>f343436417bffc7f75691172bd2fe6060ba3021fef94760aad44cf6099f8abe8</t>
  </si>
  <si>
    <t>MOBILE NO</t>
  </si>
  <si>
    <t>DESIGNATION</t>
  </si>
  <si>
    <t>SYSTEM ENGINEER, ELECTIONS</t>
  </si>
  <si>
    <t>EMAIL ID</t>
  </si>
  <si>
    <t>tangmanelection@gmail.com</t>
  </si>
  <si>
    <t>Tangman Ch Sangma</t>
  </si>
  <si>
    <t>Elimer M Marak</t>
  </si>
  <si>
    <t>elim.marak@gmail.com</t>
  </si>
  <si>
    <t>Deramun Ch Momin</t>
  </si>
  <si>
    <t>deramunmomin@gmail.com</t>
  </si>
  <si>
    <t>isiahsunny@gmail.com</t>
  </si>
  <si>
    <t>Sunny Momin</t>
  </si>
  <si>
    <t>jmarak188@gmail.com</t>
  </si>
  <si>
    <t>Jackie Marak</t>
  </si>
  <si>
    <t>Swarup Banai</t>
  </si>
  <si>
    <t>swarup.banai@gmail.com</t>
  </si>
  <si>
    <t>febianchmarak@gmail.com</t>
  </si>
  <si>
    <t>Fabian Marak</t>
  </si>
  <si>
    <t>fenzcra@gmail.com</t>
  </si>
  <si>
    <t>Elections#1243</t>
  </si>
  <si>
    <t>Elections#1247</t>
  </si>
  <si>
    <t>Elections#1252</t>
  </si>
  <si>
    <t>Elections#3465</t>
  </si>
  <si>
    <t>Elections#6621</t>
  </si>
  <si>
    <t>Elections#1754</t>
  </si>
  <si>
    <t>Elections#1261</t>
  </si>
  <si>
    <t>Fenz@3325</t>
  </si>
  <si>
    <t>Deramun@3325</t>
  </si>
  <si>
    <t>Regarding GHADC - Electoral Roll Management System</t>
  </si>
  <si>
    <t>1d4f3542a66c23f57a636ec9496b1dca8f44e3e8d7c1dde975e64da247ae0c3b</t>
  </si>
  <si>
    <t>e2620ba7ae99ec8fd732d26e0285180344d6721bf4e09faea6e0b11f4950b6b1</t>
  </si>
  <si>
    <t>89ce6094a99b207adfc019b5e8b0408409314820aefbe00e662fa5bbf9cac174</t>
  </si>
  <si>
    <t>Fenzra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</si>
</sst>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2" fillId="0" borderId="0" xfId="0" applyFont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0" fontId="4" fillId="0" borderId="0" xfId="1" applyFont="1" applyAlignment="1" applyProtection="1">
      <alignment vertical="top" wrapText="1"/>
    </xf>
    <xf numFmtId="0" fontId="2" fillId="0" borderId="0" xfId="0" applyFont="1" applyAlignment="1">
      <alignment horizontal="center" vertical="top" shrinkToFit="1"/>
    </xf>
    <xf numFmtId="0" fontId="3" fillId="0" borderId="0" xfId="0" applyFont="1" applyAlignment="1">
      <alignment vertical="top" shrinkToFit="1"/>
    </xf>
    <xf numFmtId="0" fontId="1" fillId="0" borderId="0" xfId="1" applyAlignment="1" applyProtection="1">
      <alignment vertical="top" wrapText="1"/>
    </xf>
    <xf numFmtId="0" fontId="3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marak188@gmail.com" TargetMode="External"/><Relationship Id="rId3" Type="http://schemas.openxmlformats.org/officeDocument/2006/relationships/hyperlink" Target="mailto:isiahsunny@gmail.com" TargetMode="External"/><Relationship Id="rId7" Type="http://schemas.openxmlformats.org/officeDocument/2006/relationships/hyperlink" Target="mailto:Deramun@3325" TargetMode="External"/><Relationship Id="rId2" Type="http://schemas.openxmlformats.org/officeDocument/2006/relationships/hyperlink" Target="mailto:elim.marak@gmail.com" TargetMode="External"/><Relationship Id="rId1" Type="http://schemas.openxmlformats.org/officeDocument/2006/relationships/hyperlink" Target="mailto:tangmanelection@gmail.com" TargetMode="External"/><Relationship Id="rId6" Type="http://schemas.openxmlformats.org/officeDocument/2006/relationships/hyperlink" Target="mailto:Fenz@3325" TargetMode="External"/><Relationship Id="rId5" Type="http://schemas.openxmlformats.org/officeDocument/2006/relationships/hyperlink" Target="mailto:fenzcra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eramunmomin@gmail.com" TargetMode="External"/><Relationship Id="rId9" Type="http://schemas.openxmlformats.org/officeDocument/2006/relationships/hyperlink" Target="mailto:febianchmar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topLeftCell="A7" zoomScale="85" zoomScaleNormal="85" workbookViewId="0">
      <selection activeCell="L2" sqref="L2:L11"/>
    </sheetView>
  </sheetViews>
  <sheetFormatPr defaultColWidth="9.109375" defaultRowHeight="13.8" x14ac:dyDescent="0.3"/>
  <cols>
    <col min="1" max="1" width="6.33203125" style="3" customWidth="1"/>
    <col min="2" max="2" width="10.6640625" style="4" customWidth="1"/>
    <col min="3" max="3" width="17" style="3" customWidth="1"/>
    <col min="4" max="4" width="10.88671875" style="3" bestFit="1" customWidth="1"/>
    <col min="5" max="6" width="20.6640625" style="3" customWidth="1"/>
    <col min="7" max="7" width="11" style="3" bestFit="1" customWidth="1"/>
    <col min="8" max="8" width="9.109375" style="3"/>
    <col min="9" max="9" width="14.44140625" style="7" customWidth="1"/>
    <col min="10" max="10" width="9.109375" style="7"/>
    <col min="11" max="11" width="14.77734375" style="3" bestFit="1" customWidth="1"/>
    <col min="12" max="12" width="66.21875" style="3" customWidth="1"/>
    <col min="13" max="16384" width="9.109375" style="3"/>
  </cols>
  <sheetData>
    <row r="1" spans="1:14" s="1" customFormat="1" ht="27.6" x14ac:dyDescent="0.3">
      <c r="A1" s="1" t="s">
        <v>18</v>
      </c>
      <c r="B1" s="2" t="s">
        <v>19</v>
      </c>
      <c r="C1" s="1" t="s">
        <v>20</v>
      </c>
      <c r="D1" s="1" t="s">
        <v>21</v>
      </c>
      <c r="E1" s="1" t="s">
        <v>27</v>
      </c>
      <c r="F1" s="1" t="s">
        <v>22</v>
      </c>
      <c r="G1" s="1" t="s">
        <v>24</v>
      </c>
      <c r="H1" s="1" t="s">
        <v>25</v>
      </c>
      <c r="I1" s="6"/>
      <c r="J1" s="6"/>
    </row>
    <row r="2" spans="1:14" ht="96.6" x14ac:dyDescent="0.3">
      <c r="A2" s="3">
        <v>101</v>
      </c>
      <c r="B2" s="4" t="s">
        <v>0</v>
      </c>
      <c r="C2" s="3" t="s">
        <v>8</v>
      </c>
      <c r="D2" s="3" t="s">
        <v>37</v>
      </c>
      <c r="E2" s="8" t="s">
        <v>36</v>
      </c>
      <c r="F2" s="3" t="s">
        <v>23</v>
      </c>
      <c r="G2" s="3">
        <f>A2</f>
        <v>101</v>
      </c>
      <c r="H2" s="3" t="s">
        <v>26</v>
      </c>
      <c r="I2" s="7" t="str">
        <f>" INSERT INTO USERS.USERACCOUNTS VALUES ("
&amp; A2 &amp; ","
&amp; "'" &amp; D2 &amp; "',"
&amp; "'" &amp; E2 &amp; "',"
&amp;  "'" &amp; F2 &amp; "',"
&amp; "'" &amp; G2 &amp; "','Y',"
&amp; "'" &amp; H2 &amp; "');"</f>
        <v xml:space="preserve"> INSERT INTO USERS.USERACCOUNTS VALUES (101,'Jackie Marak','jmarak188@gmail.com','f343436417bffc7f75691172bd2fe6060ba3021fef94760aad44cf6099f8abe8','101','Y','SYSTEM ENGINEER, ELECTIONS');</v>
      </c>
      <c r="J2" s="7" t="str">
        <f t="shared" ref="J2" si="0">" INSERT INTO USERS.USEROFFICES VALUES (" &amp; A2 &amp; ",'" &amp; B2 &amp; "'," &amp; A2 &amp; ");"</f>
        <v xml:space="preserve"> INSERT INTO USERS.USEROFFICES VALUES (101,'060001',101);</v>
      </c>
      <c r="K2" s="8" t="s">
        <v>43</v>
      </c>
      <c r="L2" s="3" t="str">
        <f>"Dear " &amp; D2 &amp; ", The URL for the online portal for GHADC 2026 is https://personnel.megelections.nic.in/ghadc, Your username is :  " &amp; E2 &amp; " and Your password is : "&amp; K2 &amp; "  PLEASE LOGIN ONCE AND CLICK ON ELECTORAL ROLL MANAGEMENT LINK , check if the source AC and destination DCC are correctly allocated to you "</f>
        <v xml:space="preserve">Dear Jackie Marak, The URL for the online portal for GHADC 2026 is https://personnel.megelections.nic.in/ghadc, Your username is :  jmarak188@gmail.com and Your password is : Elections#1243  PLEASE LOGIN ONCE AND CLICK ON ELECTORAL ROLL MANAGEMENT LINK , check if the source AC and destination DCC are correctly allocated to you </v>
      </c>
      <c r="M2" s="9" t="str">
        <f>"UPDATE USERS.USERACCOUNTS SET PASSWORD = '" &amp; F2 &amp; "' WHERE USERNAME='" &amp; E2 &amp; "';"</f>
        <v>UPDATE USERS.USERACCOUNTS SET PASSWORD = 'f343436417bffc7f75691172bd2fe6060ba3021fef94760aad44cf6099f8abe8' WHERE USERNAME='jmarak188@gmail.com';</v>
      </c>
      <c r="N2" s="3" t="s">
        <v>52</v>
      </c>
    </row>
    <row r="3" spans="1:14" ht="69" x14ac:dyDescent="0.3">
      <c r="A3" s="3">
        <f>A2+1</f>
        <v>102</v>
      </c>
      <c r="B3" s="4" t="s">
        <v>0</v>
      </c>
      <c r="C3" s="3" t="s">
        <v>8</v>
      </c>
      <c r="D3" s="3" t="s">
        <v>38</v>
      </c>
      <c r="E3" s="5" t="s">
        <v>39</v>
      </c>
      <c r="F3" s="3" t="s">
        <v>23</v>
      </c>
      <c r="G3" s="3">
        <v>1234567818</v>
      </c>
      <c r="H3" s="3" t="s">
        <v>26</v>
      </c>
      <c r="I3" s="7" t="str">
        <f t="shared" ref="I3:I11" si="1">" INSERT INTO USERS.USERACCOUNTS VALUES ("
&amp; A3 &amp; ","
&amp; "'" &amp; D3 &amp; "',"
&amp; "'" &amp; E3 &amp; "',"
&amp;  "'" &amp; F3 &amp; "',"
&amp; "'" &amp; G3 &amp; "','Y',"
&amp; "'" &amp; H3 &amp; "');"</f>
        <v xml:space="preserve"> INSERT INTO USERS.USERACCOUNTS VALUES (102,'Swarup Banai','swarup.banai@gmail.com','f343436417bffc7f75691172bd2fe6060ba3021fef94760aad44cf6099f8abe8','1234567818','Y','SYSTEM ENGINEER, ELECTIONS');</v>
      </c>
      <c r="J3" s="7" t="str">
        <f t="shared" ref="J3:J11" si="2">" INSERT INTO USERS.USEROFFICES VALUES (" &amp; A3 &amp; ",'" &amp; B3 &amp; "'," &amp; A3 &amp; ");"</f>
        <v xml:space="preserve"> INSERT INTO USERS.USEROFFICES VALUES (102,'060001',102);</v>
      </c>
      <c r="K3" s="8" t="s">
        <v>46</v>
      </c>
      <c r="L3" s="3" t="str">
        <f t="shared" ref="L3:L11" si="3">"Dear " &amp; D3 &amp; ", The URL for the online portal for GHADC 2026 is https://personnel.megelections.nic.in/ghadc, Your username is :  " &amp; E3 &amp; " and Your password is : "&amp; K3 &amp; "  PLEASE LOGIN ONCE AND CLICK ON ELECTORAL ROLL MANAGEMENT LINK , check if the source AC and destination DCC are correctly allocated to you "</f>
        <v xml:space="preserve">Dear Swarup Banai, The URL for the online portal for GHADC 2026 is https://personnel.megelections.nic.in/ghadc, Your username is :  swarup.banai@gmail.com and Your password is : Elections#3465  PLEASE LOGIN ONCE AND CLICK ON ELECTORAL ROLL MANAGEMENT LINK , check if the source AC and destination DCC are correctly allocated to you </v>
      </c>
      <c r="M3" s="9" t="str">
        <f t="shared" ref="M3:M11" si="4">"UPDATE USERS.USERACCOUNTS SET PASSWORD = '" &amp; F3 &amp; "' WHERE USERNAME='" &amp; E3 &amp; "';"</f>
        <v>UPDATE USERS.USERACCOUNTS SET PASSWORD = 'f343436417bffc7f75691172bd2fe6060ba3021fef94760aad44cf6099f8abe8' WHERE USERNAME='swarup.banai@gmail.com';</v>
      </c>
    </row>
    <row r="4" spans="1:14" ht="69" x14ac:dyDescent="0.3">
      <c r="A4" s="3">
        <f t="shared" ref="A4:A11" si="5">A3+1</f>
        <v>103</v>
      </c>
      <c r="B4" s="4" t="s">
        <v>1</v>
      </c>
      <c r="C4" s="3" t="s">
        <v>9</v>
      </c>
      <c r="D4" s="3" t="s">
        <v>41</v>
      </c>
      <c r="E4" s="8" t="s">
        <v>40</v>
      </c>
      <c r="F4" s="3" t="s">
        <v>23</v>
      </c>
      <c r="G4" s="3">
        <v>1234567819</v>
      </c>
      <c r="H4" s="3" t="s">
        <v>26</v>
      </c>
      <c r="I4" s="7" t="str">
        <f t="shared" si="1"/>
        <v xml:space="preserve"> INSERT INTO USERS.USERACCOUNTS VALUES (103,'Fabian Marak','febianchmarak@gmail.com','f343436417bffc7f75691172bd2fe6060ba3021fef94760aad44cf6099f8abe8','1234567819','Y','SYSTEM ENGINEER, ELECTIONS');</v>
      </c>
      <c r="J4" s="7" t="str">
        <f t="shared" si="2"/>
        <v xml:space="preserve"> INSERT INTO USERS.USEROFFICES VALUES (103,'060002',103);</v>
      </c>
      <c r="K4" s="8" t="s">
        <v>47</v>
      </c>
      <c r="L4" s="3" t="str">
        <f t="shared" si="3"/>
        <v xml:space="preserve">Dear Fabian Marak, The URL for the online portal for GHADC 2026 is https://personnel.megelections.nic.in/ghadc, Your username is :  febianchmarak@gmail.com and Your password is : Elections#6621  PLEASE LOGIN ONCE AND CLICK ON ELECTORAL ROLL MANAGEMENT LINK , check if the source AC and destination DCC are correctly allocated to you </v>
      </c>
      <c r="M4" s="9" t="str">
        <f t="shared" si="4"/>
        <v>UPDATE USERS.USERACCOUNTS SET PASSWORD = 'f343436417bffc7f75691172bd2fe6060ba3021fef94760aad44cf6099f8abe8' WHERE USERNAME='febianchmarak@gmail.com';</v>
      </c>
    </row>
    <row r="5" spans="1:14" ht="69" x14ac:dyDescent="0.3">
      <c r="A5" s="3">
        <f t="shared" si="5"/>
        <v>104</v>
      </c>
      <c r="B5" s="4" t="s">
        <v>2</v>
      </c>
      <c r="C5" s="3" t="s">
        <v>10</v>
      </c>
      <c r="D5" s="3" t="s">
        <v>17</v>
      </c>
      <c r="E5" s="5" t="str">
        <f>B5 &amp; "@gmail.com"</f>
        <v>060003@gmail.com</v>
      </c>
      <c r="F5" s="3" t="s">
        <v>23</v>
      </c>
      <c r="G5" s="3">
        <v>1234567820</v>
      </c>
      <c r="H5" s="3" t="s">
        <v>26</v>
      </c>
      <c r="I5" s="7" t="str">
        <f t="shared" si="1"/>
        <v xml:space="preserve"> INSERT INTO USERS.USERACCOUNTS VALUES (104,'B','060003@gmail.com','f343436417bffc7f75691172bd2fe6060ba3021fef94760aad44cf6099f8abe8','1234567820','Y','SYSTEM ENGINEER, ELECTIONS');</v>
      </c>
      <c r="J5" s="7" t="str">
        <f t="shared" si="2"/>
        <v xml:space="preserve"> INSERT INTO USERS.USEROFFICES VALUES (104,'060003',104);</v>
      </c>
      <c r="K5" s="8"/>
      <c r="L5" s="3" t="str">
        <f t="shared" si="3"/>
        <v xml:space="preserve">Dear B, The URL for the online portal for GHADC 2026 is https://personnel.megelections.nic.in/ghadc, Your username is :  060003@gmail.com and Your password is :   PLEASE LOGIN ONCE AND CLICK ON ELECTORAL ROLL MANAGEMENT LINK , check if the source AC and destination DCC are correctly allocated to you </v>
      </c>
      <c r="M5" s="9" t="str">
        <f t="shared" si="4"/>
        <v>UPDATE USERS.USERACCOUNTS SET PASSWORD = 'f343436417bffc7f75691172bd2fe6060ba3021fef94760aad44cf6099f8abe8' WHERE USERNAME='060003@gmail.com';</v>
      </c>
    </row>
    <row r="6" spans="1:14" ht="69" x14ac:dyDescent="0.3">
      <c r="A6" s="3">
        <f t="shared" si="5"/>
        <v>105</v>
      </c>
      <c r="B6" s="4" t="s">
        <v>3</v>
      </c>
      <c r="C6" s="3" t="s">
        <v>11</v>
      </c>
      <c r="D6" s="3" t="s">
        <v>29</v>
      </c>
      <c r="E6" s="8" t="s">
        <v>28</v>
      </c>
      <c r="F6" s="3" t="s">
        <v>23</v>
      </c>
      <c r="G6" s="3">
        <v>1234567821</v>
      </c>
      <c r="H6" s="3" t="s">
        <v>26</v>
      </c>
      <c r="I6" s="7" t="str">
        <f t="shared" si="1"/>
        <v xml:space="preserve"> INSERT INTO USERS.USERACCOUNTS VALUES (105,'Tangman Ch Sangma','tangmanelection@gmail.com','f343436417bffc7f75691172bd2fe6060ba3021fef94760aad44cf6099f8abe8','1234567821','Y','SYSTEM ENGINEER, ELECTIONS');</v>
      </c>
      <c r="J6" s="7" t="str">
        <f t="shared" si="2"/>
        <v xml:space="preserve"> INSERT INTO USERS.USEROFFICES VALUES (105,'070001',105);</v>
      </c>
      <c r="K6" s="8" t="s">
        <v>44</v>
      </c>
      <c r="L6" s="3" t="str">
        <f t="shared" si="3"/>
        <v xml:space="preserve">Dear Tangman Ch Sangma, The URL for the online portal for GHADC 2026 is https://personnel.megelections.nic.in/ghadc, Your username is :  tangmanelection@gmail.com and Your password is : Elections#1247  PLEASE LOGIN ONCE AND CLICK ON ELECTORAL ROLL MANAGEMENT LINK , check if the source AC and destination DCC are correctly allocated to you </v>
      </c>
      <c r="M6" s="9" t="str">
        <f t="shared" si="4"/>
        <v>UPDATE USERS.USERACCOUNTS SET PASSWORD = 'f343436417bffc7f75691172bd2fe6060ba3021fef94760aad44cf6099f8abe8' WHERE USERNAME='tangmanelection@gmail.com';</v>
      </c>
    </row>
    <row r="7" spans="1:14" ht="69" x14ac:dyDescent="0.3">
      <c r="A7" s="3">
        <f t="shared" si="5"/>
        <v>106</v>
      </c>
      <c r="B7" s="4" t="s">
        <v>3</v>
      </c>
      <c r="C7" s="3" t="s">
        <v>11</v>
      </c>
      <c r="D7" s="3" t="s">
        <v>30</v>
      </c>
      <c r="E7" s="8" t="s">
        <v>31</v>
      </c>
      <c r="F7" s="3" t="s">
        <v>53</v>
      </c>
      <c r="G7" s="3">
        <v>1234567821</v>
      </c>
      <c r="H7" s="3" t="s">
        <v>26</v>
      </c>
      <c r="I7" s="7" t="str">
        <f t="shared" si="1"/>
        <v xml:space="preserve"> INSERT INTO USERS.USERACCOUNTS VALUES (106,'Elimer M Marak','elim.marak@gmail.com','1d4f3542a66c23f57a636ec9496b1dca8f44e3e8d7c1dde975e64da247ae0c3b','1234567821','Y','SYSTEM ENGINEER, ELECTIONS');</v>
      </c>
      <c r="J7" s="7" t="str">
        <f t="shared" si="2"/>
        <v xml:space="preserve"> INSERT INTO USERS.USEROFFICES VALUES (106,'070001',106);</v>
      </c>
      <c r="K7" s="8" t="s">
        <v>48</v>
      </c>
      <c r="L7" s="3" t="str">
        <f t="shared" si="3"/>
        <v xml:space="preserve">Dear Elimer M Marak, The URL for the online portal for GHADC 2026 is https://personnel.megelections.nic.in/ghadc, Your username is :  elim.marak@gmail.com and Your password is : Elections#1754  PLEASE LOGIN ONCE AND CLICK ON ELECTORAL ROLL MANAGEMENT LINK , check if the source AC and destination DCC are correctly allocated to you </v>
      </c>
      <c r="M7" s="9" t="str">
        <f t="shared" si="4"/>
        <v>UPDATE USERS.USERACCOUNTS SET PASSWORD = '1d4f3542a66c23f57a636ec9496b1dca8f44e3e8d7c1dde975e64da247ae0c3b' WHERE USERNAME='elim.marak@gmail.com';</v>
      </c>
    </row>
    <row r="8" spans="1:14" ht="69" x14ac:dyDescent="0.3">
      <c r="A8" s="3">
        <f t="shared" si="5"/>
        <v>107</v>
      </c>
      <c r="B8" s="4" t="s">
        <v>4</v>
      </c>
      <c r="C8" s="3" t="s">
        <v>12</v>
      </c>
      <c r="D8" s="3" t="s">
        <v>16</v>
      </c>
      <c r="E8" s="5" t="str">
        <f>B8 &amp; "@gmail.com"</f>
        <v>070002@gmail.com</v>
      </c>
      <c r="F8" s="3" t="s">
        <v>53</v>
      </c>
      <c r="G8" s="3">
        <v>1234567822</v>
      </c>
      <c r="H8" s="3" t="s">
        <v>26</v>
      </c>
      <c r="I8" s="7" t="str">
        <f t="shared" si="1"/>
        <v xml:space="preserve"> INSERT INTO USERS.USERACCOUNTS VALUES (107,'A','070002@gmail.com','1d4f3542a66c23f57a636ec9496b1dca8f44e3e8d7c1dde975e64da247ae0c3b','1234567822','Y','SYSTEM ENGINEER, ELECTIONS');</v>
      </c>
      <c r="J8" s="7" t="str">
        <f t="shared" si="2"/>
        <v xml:space="preserve"> INSERT INTO USERS.USEROFFICES VALUES (107,'070002',107);</v>
      </c>
      <c r="K8" s="8" t="s">
        <v>49</v>
      </c>
      <c r="L8" s="3" t="str">
        <f t="shared" si="3"/>
        <v xml:space="preserve">Dear A, The URL for the online portal for GHADC 2026 is https://personnel.megelections.nic.in/ghadc, Your username is :  070002@gmail.com and Your password is : Elections#1261  PLEASE LOGIN ONCE AND CLICK ON ELECTORAL ROLL MANAGEMENT LINK , check if the source AC and destination DCC are correctly allocated to you </v>
      </c>
      <c r="M8" s="9" t="str">
        <f t="shared" si="4"/>
        <v>UPDATE USERS.USERACCOUNTS SET PASSWORD = '1d4f3542a66c23f57a636ec9496b1dca8f44e3e8d7c1dde975e64da247ae0c3b' WHERE USERNAME='070002@gmail.com';</v>
      </c>
    </row>
    <row r="9" spans="1:14" ht="82.8" x14ac:dyDescent="0.3">
      <c r="A9" s="3">
        <f t="shared" si="5"/>
        <v>108</v>
      </c>
      <c r="B9" s="4" t="s">
        <v>5</v>
      </c>
      <c r="C9" s="3" t="s">
        <v>13</v>
      </c>
      <c r="D9" s="3" t="s">
        <v>56</v>
      </c>
      <c r="E9" s="8" t="s">
        <v>42</v>
      </c>
      <c r="F9" s="3" t="s">
        <v>54</v>
      </c>
      <c r="G9" s="3">
        <v>1234567825</v>
      </c>
      <c r="H9" s="3" t="s">
        <v>26</v>
      </c>
      <c r="I9" s="7" t="str">
        <f t="shared" si="1"/>
        <v xml:space="preserve"> INSERT INTO USERS.USERACCOUNTS VALUES (108,'Fenzra','fenzcra@gmail.com','e2620ba7ae99ec8fd732d26e0285180344d6721bf4e09faea6e0b11f4950b6b1','1234567825','Y','SYSTEM ENGINEER, ELECTIONS');</v>
      </c>
      <c r="J9" s="7" t="str">
        <f t="shared" si="2"/>
        <v xml:space="preserve"> INSERT INTO USERS.USEROFFICES VALUES (108,'100001',108);</v>
      </c>
      <c r="K9" s="8" t="s">
        <v>50</v>
      </c>
      <c r="L9" s="3" t="str">
        <f t="shared" si="3"/>
        <v xml:space="preserve">Dear Fenzra, The URL for the online portal for GHADC 2026 is https://personnel.megelections.nic.in/ghadc, Your username is :  fenzcra@gmail.com and Your password is : Fenz@3325  PLEASE LOGIN ONCE AND CLICK ON ELECTORAL ROLL MANAGEMENT LINK , check if the source AC and destination DCC are correctly allocated to you </v>
      </c>
      <c r="M9" s="9" t="str">
        <f t="shared" si="4"/>
        <v>UPDATE USERS.USERACCOUNTS SET PASSWORD = 'e2620ba7ae99ec8fd732d26e0285180344d6721bf4e09faea6e0b11f4950b6b1' WHERE USERNAME='fenzcra@gmail.com';</v>
      </c>
    </row>
    <row r="10" spans="1:14" ht="82.8" x14ac:dyDescent="0.3">
      <c r="A10" s="3">
        <f t="shared" si="5"/>
        <v>109</v>
      </c>
      <c r="B10" s="4" t="s">
        <v>6</v>
      </c>
      <c r="C10" s="3" t="s">
        <v>14</v>
      </c>
      <c r="D10" s="3" t="s">
        <v>32</v>
      </c>
      <c r="E10" s="8" t="s">
        <v>33</v>
      </c>
      <c r="F10" s="3" t="s">
        <v>23</v>
      </c>
      <c r="G10" s="3">
        <v>1234567826</v>
      </c>
      <c r="H10" s="3" t="s">
        <v>26</v>
      </c>
      <c r="I10" s="7" t="str">
        <f t="shared" si="1"/>
        <v xml:space="preserve"> INSERT INTO USERS.USERACCOUNTS VALUES (109,'Deramun Ch Momin','deramunmomin@gmail.com','f343436417bffc7f75691172bd2fe6060ba3021fef94760aad44cf6099f8abe8','1234567826','Y','SYSTEM ENGINEER, ELECTIONS');</v>
      </c>
      <c r="J10" s="7" t="str">
        <f t="shared" si="2"/>
        <v xml:space="preserve"> INSERT INTO USERS.USEROFFICES VALUES (109,'110011',109);</v>
      </c>
      <c r="K10" s="8" t="s">
        <v>51</v>
      </c>
      <c r="L10" s="3" t="str">
        <f t="shared" si="3"/>
        <v xml:space="preserve">Dear Deramun Ch Momin, The URL for the online portal for GHADC 2026 is https://personnel.megelections.nic.in/ghadc, Your username is :  deramunmomin@gmail.com and Your password is : Deramun@3325  PLEASE LOGIN ONCE AND CLICK ON ELECTORAL ROLL MANAGEMENT LINK , check if the source AC and destination DCC are correctly allocated to you </v>
      </c>
      <c r="M10" s="9" t="str">
        <f t="shared" si="4"/>
        <v>UPDATE USERS.USERACCOUNTS SET PASSWORD = 'f343436417bffc7f75691172bd2fe6060ba3021fef94760aad44cf6099f8abe8' WHERE USERNAME='deramunmomin@gmail.com';</v>
      </c>
    </row>
    <row r="11" spans="1:14" ht="82.8" x14ac:dyDescent="0.3">
      <c r="A11" s="3">
        <f t="shared" si="5"/>
        <v>110</v>
      </c>
      <c r="B11" s="4" t="s">
        <v>7</v>
      </c>
      <c r="C11" s="3" t="s">
        <v>15</v>
      </c>
      <c r="D11" s="3" t="s">
        <v>35</v>
      </c>
      <c r="E11" s="8" t="s">
        <v>34</v>
      </c>
      <c r="F11" s="3" t="s">
        <v>55</v>
      </c>
      <c r="G11" s="3">
        <v>1234567828</v>
      </c>
      <c r="H11" s="3" t="s">
        <v>26</v>
      </c>
      <c r="I11" s="7" t="str">
        <f t="shared" si="1"/>
        <v xml:space="preserve"> INSERT INTO USERS.USERACCOUNTS VALUES (110,'Sunny Momin','isiahsunny@gmail.com','89ce6094a99b207adfc019b5e8b0408409314820aefbe00e662fa5bbf9cac174','1234567828','Y','SYSTEM ENGINEER, ELECTIONS');</v>
      </c>
      <c r="J11" s="7" t="str">
        <f t="shared" si="2"/>
        <v xml:space="preserve"> INSERT INTO USERS.USEROFFICES VALUES (110,'050001',110);</v>
      </c>
      <c r="K11" s="8" t="s">
        <v>45</v>
      </c>
      <c r="L11" s="3" t="str">
        <f t="shared" si="3"/>
        <v xml:space="preserve">Dear Sunny Momin, The URL for the online portal for GHADC 2026 is https://personnel.megelections.nic.in/ghadc, Your username is :  isiahsunny@gmail.com and Your password is : Elections#1252  PLEASE LOGIN ONCE AND CLICK ON ELECTORAL ROLL MANAGEMENT LINK , check if the source AC and destination DCC are correctly allocated to you </v>
      </c>
      <c r="M11" s="9" t="str">
        <f t="shared" si="4"/>
        <v>UPDATE USERS.USERACCOUNTS SET PASSWORD = '89ce6094a99b207adfc019b5e8b0408409314820aefbe00e662fa5bbf9cac174' WHERE USERNAME='isiahsunny@gmail.com';</v>
      </c>
    </row>
  </sheetData>
  <hyperlinks>
    <hyperlink ref="E6" r:id="rId1"/>
    <hyperlink ref="E7" r:id="rId2"/>
    <hyperlink ref="E11" r:id="rId3"/>
    <hyperlink ref="E10" r:id="rId4"/>
    <hyperlink ref="E9" r:id="rId5"/>
    <hyperlink ref="K9" r:id="rId6"/>
    <hyperlink ref="K10" r:id="rId7"/>
    <hyperlink ref="E2" r:id="rId8"/>
    <hyperlink ref="E4" r:id="rId9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Avijit</cp:lastModifiedBy>
  <dcterms:created xsi:type="dcterms:W3CDTF">2023-12-20T12:11:52Z</dcterms:created>
  <dcterms:modified xsi:type="dcterms:W3CDTF">2026-01-30T19:26:20Z</dcterms:modified>
</cp:coreProperties>
</file>