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" i="1"/>
</calcChain>
</file>

<file path=xl/sharedStrings.xml><?xml version="1.0" encoding="utf-8"?>
<sst xmlns="http://schemas.openxmlformats.org/spreadsheetml/2006/main" count="175" uniqueCount="127">
  <si>
    <t>EPIC_ID</t>
  </si>
  <si>
    <t>APPROVAL_DATE</t>
  </si>
  <si>
    <t>EPIC_NUMBER</t>
  </si>
  <si>
    <t>APPLICANT_FIRST_NAME</t>
  </si>
  <si>
    <t>APPLICANT_FIRST_NAME_L1</t>
  </si>
  <si>
    <t>APPLICANT_FIRST_NAME_L2</t>
  </si>
  <si>
    <t>APPLICANT_LAST_NAME</t>
  </si>
  <si>
    <t>APPLICANT_LAST_NAME_L1</t>
  </si>
  <si>
    <t>APPLICANT_LAST_NAME_L2</t>
  </si>
  <si>
    <t>STATE_CD</t>
  </si>
  <si>
    <t>STATE_NAME</t>
  </si>
  <si>
    <t>DISTRICT_CD</t>
  </si>
  <si>
    <t>PIN_CODE</t>
  </si>
  <si>
    <t>ASSEMBLY_CONSTITUENCY_NUMBER</t>
  </si>
  <si>
    <t>PART_NUMBER</t>
  </si>
  <si>
    <t>PART_SERIAL_NUMBER</t>
  </si>
  <si>
    <t>SECTION_NO</t>
  </si>
  <si>
    <t>AGE</t>
  </si>
  <si>
    <t>GENDER</t>
  </si>
  <si>
    <t>GENDER_L1</t>
  </si>
  <si>
    <t>GENDER_L2</t>
  </si>
  <si>
    <t>PHOTO</t>
  </si>
  <si>
    <t>RELATION_TYPE</t>
  </si>
  <si>
    <t>RELATION_TYPE_L1</t>
  </si>
  <si>
    <t>RELATION_TYPE_L2</t>
  </si>
  <si>
    <t>RELATION_NAME</t>
  </si>
  <si>
    <t>RELATION_NAME_L1</t>
  </si>
  <si>
    <t>RELATION_NAME_L2</t>
  </si>
  <si>
    <t>HOUSE_NUMBER</t>
  </si>
  <si>
    <t>HOUSE_NUMBER_L1</t>
  </si>
  <si>
    <t>HOUSE_NUMBER_L2</t>
  </si>
  <si>
    <t>LOCALITY_STREET</t>
  </si>
  <si>
    <t>LOCALITY_STREET_L1</t>
  </si>
  <si>
    <t>LOCALITY_STREET_L2</t>
  </si>
  <si>
    <t>DOB</t>
  </si>
  <si>
    <t>POLICE_STATION</t>
  </si>
  <si>
    <t>POST_OFFICE</t>
  </si>
  <si>
    <t>DISABILITY_ANY</t>
  </si>
  <si>
    <t>DISABILITY_TYPE</t>
  </si>
  <si>
    <t>BIRTH_DISTRICT</t>
  </si>
  <si>
    <t>BIRTH_STATE</t>
  </si>
  <si>
    <t>BIRTH_TOWN</t>
  </si>
  <si>
    <t>WARD_NO_OLD</t>
  </si>
  <si>
    <t>CREATED_DTTM</t>
  </si>
  <si>
    <t>RELATION_L_NAME</t>
  </si>
  <si>
    <t>ELECTOR_TYPE</t>
  </si>
  <si>
    <t>RLN_L_NM_V2</t>
  </si>
  <si>
    <t>RLN_L_NM_V1</t>
  </si>
  <si>
    <t>C_POST_OFFICE_V1</t>
  </si>
  <si>
    <t>C_DISTRICT_NO_V1</t>
  </si>
  <si>
    <t>C_PIN_CODE_V1</t>
  </si>
  <si>
    <t>IS_ACTIVE</t>
  </si>
  <si>
    <t>TOWN_VILLAGE</t>
  </si>
  <si>
    <t>TEHSIL_TALUKA_MANDAL</t>
  </si>
  <si>
    <t>TOWN_VILLAGE1</t>
  </si>
  <si>
    <t>DISABILITY_PERCENT</t>
  </si>
  <si>
    <t>OLD_EPIC_NO</t>
  </si>
  <si>
    <t>TEHSIL_TALUKA_MANDAL_L1</t>
  </si>
  <si>
    <t>PWD</t>
  </si>
  <si>
    <t>epic_id</t>
  </si>
  <si>
    <t>process_type</t>
  </si>
  <si>
    <t>epic_number</t>
  </si>
  <si>
    <t>applicant_first_name</t>
  </si>
  <si>
    <t>applicant_first_name_l1</t>
  </si>
  <si>
    <t>applicant_last_name</t>
  </si>
  <si>
    <t>applicant_last_name_l1</t>
  </si>
  <si>
    <t>assembly_constituency_number</t>
  </si>
  <si>
    <t>part_number</t>
  </si>
  <si>
    <t>part_serial_number</t>
  </si>
  <si>
    <t>section_no</t>
  </si>
  <si>
    <t>age</t>
  </si>
  <si>
    <t>gender</t>
  </si>
  <si>
    <t>relation_type</t>
  </si>
  <si>
    <t>relation_name</t>
  </si>
  <si>
    <t>relation_name_l1</t>
  </si>
  <si>
    <t>house_number</t>
  </si>
  <si>
    <t>dob</t>
  </si>
  <si>
    <t>house_no_old</t>
  </si>
  <si>
    <t>status_type</t>
  </si>
  <si>
    <t>relation_l_name</t>
  </si>
  <si>
    <t>rln_l_nm_v1</t>
  </si>
  <si>
    <t>is_active</t>
  </si>
  <si>
    <t>revision_no</t>
  </si>
  <si>
    <t>notional_hno</t>
  </si>
  <si>
    <t>house_number_l1</t>
  </si>
  <si>
    <t>moved</t>
  </si>
  <si>
    <t>isadcvoter</t>
  </si>
  <si>
    <t>photo</t>
  </si>
  <si>
    <t>epic_id,</t>
  </si>
  <si>
    <t>process_type,</t>
  </si>
  <si>
    <t>epic_number,</t>
  </si>
  <si>
    <t>applicant_first_name,</t>
  </si>
  <si>
    <t>applicant_first_name_l1,</t>
  </si>
  <si>
    <t>applicant_last_name,</t>
  </si>
  <si>
    <t>applicant_last_name_l1,</t>
  </si>
  <si>
    <t>assembly_constituency_number,</t>
  </si>
  <si>
    <t>part_number,</t>
  </si>
  <si>
    <t>part_serial_number,</t>
  </si>
  <si>
    <t>section_no,</t>
  </si>
  <si>
    <t>age,</t>
  </si>
  <si>
    <t>gender,</t>
  </si>
  <si>
    <t>relation_type,</t>
  </si>
  <si>
    <t>relation_name,</t>
  </si>
  <si>
    <t>relation_name_l1,</t>
  </si>
  <si>
    <t>house_number,</t>
  </si>
  <si>
    <t>dob,</t>
  </si>
  <si>
    <t>house_no_old,</t>
  </si>
  <si>
    <t>status_type,</t>
  </si>
  <si>
    <t>relation_l_name,</t>
  </si>
  <si>
    <t>rln_l_nm_v1,</t>
  </si>
  <si>
    <t>is_active,</t>
  </si>
  <si>
    <t>revision_no,</t>
  </si>
  <si>
    <t>notional_hno,</t>
  </si>
  <si>
    <t>house_number_l1,</t>
  </si>
  <si>
    <t>moved,</t>
  </si>
  <si>
    <t>isadcvoter,</t>
  </si>
  <si>
    <t>photo,</t>
  </si>
  <si>
    <t>numeric</t>
  </si>
  <si>
    <t>text</t>
  </si>
  <si>
    <t>smallint</t>
  </si>
  <si>
    <t>integer</t>
  </si>
  <si>
    <t>character varying</t>
  </si>
  <si>
    <t>bytea</t>
  </si>
  <si>
    <t>Long</t>
  </si>
  <si>
    <t>String</t>
  </si>
  <si>
    <t>Int</t>
  </si>
  <si>
    <t>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</si>
</sst>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9"/>
  <sheetViews>
    <sheetView tabSelected="1" workbookViewId="0">
      <selection activeCell="G1" sqref="G1:G29"/>
    </sheetView>
  </sheetViews>
  <sheetFormatPr defaultRowHeight="14.4" x14ac:dyDescent="0.3"/>
  <cols>
    <col min="2" max="2" width="29.6640625" customWidth="1"/>
    <col min="3" max="3" width="27.109375" customWidth="1"/>
    <col min="4" max="4" width="25.33203125" hidden="1" customWidth="1"/>
    <col min="5" max="5" width="22.44140625" customWidth="1"/>
    <col min="6" max="6" width="17.33203125" customWidth="1"/>
    <col min="7" max="7" width="66.21875" customWidth="1"/>
  </cols>
  <sheetData>
    <row r="1" spans="1:36" x14ac:dyDescent="0.3">
      <c r="A1">
        <v>1</v>
      </c>
      <c r="B1" t="s">
        <v>0</v>
      </c>
      <c r="C1" t="s">
        <v>59</v>
      </c>
      <c r="D1" t="str">
        <f>UPPER(C1)&amp; ","</f>
        <v>EPIC_ID,</v>
      </c>
      <c r="E1" t="s">
        <v>117</v>
      </c>
      <c r="F1" t="s">
        <v>123</v>
      </c>
      <c r="G1" t="str">
        <f>"statementPG.set" &amp; F1&amp; "(" &amp; A1 &amp; ", resultSet.get"&amp;F1&amp;"("""&amp;UPPER(C1) &amp; """));"</f>
        <v>statementPG.setLong(1, resultSet.getLong("EPIC_ID"));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  <c r="AE1" t="s">
        <v>111</v>
      </c>
      <c r="AF1" t="s">
        <v>112</v>
      </c>
      <c r="AG1" t="s">
        <v>113</v>
      </c>
      <c r="AH1" t="s">
        <v>114</v>
      </c>
      <c r="AI1" t="s">
        <v>115</v>
      </c>
      <c r="AJ1" t="s">
        <v>116</v>
      </c>
    </row>
    <row r="2" spans="1:36" x14ac:dyDescent="0.3">
      <c r="A2">
        <v>2</v>
      </c>
      <c r="B2" t="s">
        <v>1</v>
      </c>
      <c r="C2" t="s">
        <v>60</v>
      </c>
      <c r="D2" t="str">
        <f t="shared" ref="D2:D29" si="0">UPPER(C2)&amp; ","</f>
        <v>PROCESS_TYPE,</v>
      </c>
      <c r="E2" t="s">
        <v>118</v>
      </c>
      <c r="F2" t="s">
        <v>124</v>
      </c>
      <c r="G2" t="str">
        <f t="shared" ref="G2:G29" si="1">"statementPG.set" &amp; F2&amp; "(" &amp; A2 &amp; ", resultSet.get"&amp;F2&amp;"("""&amp;UPPER(C2) &amp; """));"</f>
        <v>statementPG.setString(2, resultSet.getString("PROCESS_TYPE"));</v>
      </c>
    </row>
    <row r="3" spans="1:36" x14ac:dyDescent="0.3">
      <c r="A3">
        <v>3</v>
      </c>
      <c r="B3" t="s">
        <v>2</v>
      </c>
      <c r="C3" t="s">
        <v>61</v>
      </c>
      <c r="D3" t="str">
        <f t="shared" si="0"/>
        <v>EPIC_NUMBER,</v>
      </c>
      <c r="E3" t="s">
        <v>118</v>
      </c>
      <c r="F3" t="s">
        <v>124</v>
      </c>
      <c r="G3" t="str">
        <f t="shared" si="1"/>
        <v>statementPG.setString(3, resultSet.getString("EPIC_NUMBER"));</v>
      </c>
    </row>
    <row r="4" spans="1:36" x14ac:dyDescent="0.3">
      <c r="A4">
        <v>4</v>
      </c>
      <c r="B4" t="s">
        <v>3</v>
      </c>
      <c r="C4" t="s">
        <v>62</v>
      </c>
      <c r="D4" t="str">
        <f t="shared" si="0"/>
        <v>APPLICANT_FIRST_NAME,</v>
      </c>
      <c r="E4" t="s">
        <v>118</v>
      </c>
      <c r="F4" t="s">
        <v>124</v>
      </c>
      <c r="G4" t="str">
        <f t="shared" si="1"/>
        <v>statementPG.setString(4, resultSet.getString("APPLICANT_FIRST_NAME"));</v>
      </c>
    </row>
    <row r="5" spans="1:36" x14ac:dyDescent="0.3">
      <c r="A5">
        <v>5</v>
      </c>
      <c r="B5" t="s">
        <v>4</v>
      </c>
      <c r="C5" t="s">
        <v>63</v>
      </c>
      <c r="D5" t="str">
        <f t="shared" si="0"/>
        <v>APPLICANT_FIRST_NAME_L1,</v>
      </c>
      <c r="E5" t="s">
        <v>118</v>
      </c>
      <c r="F5" t="s">
        <v>124</v>
      </c>
      <c r="G5" t="str">
        <f t="shared" si="1"/>
        <v>statementPG.setString(5, resultSet.getString("APPLICANT_FIRST_NAME_L1"));</v>
      </c>
    </row>
    <row r="6" spans="1:36" x14ac:dyDescent="0.3">
      <c r="A6">
        <v>6</v>
      </c>
      <c r="B6" t="s">
        <v>5</v>
      </c>
      <c r="C6" t="s">
        <v>64</v>
      </c>
      <c r="D6" t="str">
        <f t="shared" si="0"/>
        <v>APPLICANT_LAST_NAME,</v>
      </c>
      <c r="E6" t="s">
        <v>118</v>
      </c>
      <c r="F6" t="s">
        <v>124</v>
      </c>
      <c r="G6" t="str">
        <f t="shared" si="1"/>
        <v>statementPG.setString(6, resultSet.getString("APPLICANT_LAST_NAME"));</v>
      </c>
    </row>
    <row r="7" spans="1:36" x14ac:dyDescent="0.3">
      <c r="A7">
        <v>7</v>
      </c>
      <c r="B7" t="s">
        <v>6</v>
      </c>
      <c r="C7" t="s">
        <v>65</v>
      </c>
      <c r="D7" t="str">
        <f t="shared" si="0"/>
        <v>APPLICANT_LAST_NAME_L1,</v>
      </c>
      <c r="E7" t="s">
        <v>118</v>
      </c>
      <c r="F7" t="s">
        <v>124</v>
      </c>
      <c r="G7" t="str">
        <f t="shared" si="1"/>
        <v>statementPG.setString(7, resultSet.getString("APPLICANT_LAST_NAME_L1"));</v>
      </c>
    </row>
    <row r="8" spans="1:36" x14ac:dyDescent="0.3">
      <c r="A8">
        <v>8</v>
      </c>
      <c r="B8" t="s">
        <v>7</v>
      </c>
      <c r="C8" t="s">
        <v>66</v>
      </c>
      <c r="D8" t="str">
        <f t="shared" si="0"/>
        <v>ASSEMBLY_CONSTITUENCY_NUMBER,</v>
      </c>
      <c r="E8" t="s">
        <v>119</v>
      </c>
      <c r="F8" t="s">
        <v>125</v>
      </c>
      <c r="G8" t="str">
        <f t="shared" si="1"/>
        <v>statementPG.setInt(8, resultSet.getInt("ASSEMBLY_CONSTITUENCY_NUMBER"));</v>
      </c>
    </row>
    <row r="9" spans="1:36" x14ac:dyDescent="0.3">
      <c r="A9">
        <v>9</v>
      </c>
      <c r="B9" t="s">
        <v>8</v>
      </c>
      <c r="C9" t="s">
        <v>67</v>
      </c>
      <c r="D9" t="str">
        <f t="shared" si="0"/>
        <v>PART_NUMBER,</v>
      </c>
      <c r="E9" t="s">
        <v>120</v>
      </c>
      <c r="F9" t="s">
        <v>125</v>
      </c>
      <c r="G9" t="str">
        <f t="shared" si="1"/>
        <v>statementPG.setInt(9, resultSet.getInt("PART_NUMBER"));</v>
      </c>
    </row>
    <row r="10" spans="1:36" x14ac:dyDescent="0.3">
      <c r="A10">
        <v>10</v>
      </c>
      <c r="B10" t="s">
        <v>9</v>
      </c>
      <c r="C10" t="s">
        <v>68</v>
      </c>
      <c r="D10" t="str">
        <f t="shared" si="0"/>
        <v>PART_SERIAL_NUMBER,</v>
      </c>
      <c r="E10" t="s">
        <v>120</v>
      </c>
      <c r="F10" t="s">
        <v>125</v>
      </c>
      <c r="G10" t="str">
        <f t="shared" si="1"/>
        <v>statementPG.setInt(10, resultSet.getInt("PART_SERIAL_NUMBER"));</v>
      </c>
    </row>
    <row r="11" spans="1:36" x14ac:dyDescent="0.3">
      <c r="A11">
        <v>11</v>
      </c>
      <c r="B11" t="s">
        <v>10</v>
      </c>
      <c r="C11" t="s">
        <v>69</v>
      </c>
      <c r="D11" t="str">
        <f t="shared" si="0"/>
        <v>SECTION_NO,</v>
      </c>
      <c r="E11" t="s">
        <v>120</v>
      </c>
      <c r="F11" t="s">
        <v>125</v>
      </c>
      <c r="G11" t="str">
        <f t="shared" si="1"/>
        <v>statementPG.setInt(11, resultSet.getInt("SECTION_NO"));</v>
      </c>
    </row>
    <row r="12" spans="1:36" x14ac:dyDescent="0.3">
      <c r="A12">
        <v>12</v>
      </c>
      <c r="B12" t="s">
        <v>11</v>
      </c>
      <c r="C12" t="s">
        <v>70</v>
      </c>
      <c r="D12" t="str">
        <f t="shared" si="0"/>
        <v>AGE,</v>
      </c>
      <c r="E12" t="s">
        <v>119</v>
      </c>
      <c r="F12" t="s">
        <v>125</v>
      </c>
      <c r="G12" t="str">
        <f t="shared" si="1"/>
        <v>statementPG.setInt(12, resultSet.getInt("AGE"));</v>
      </c>
    </row>
    <row r="13" spans="1:36" x14ac:dyDescent="0.3">
      <c r="A13">
        <v>13</v>
      </c>
      <c r="B13" t="s">
        <v>12</v>
      </c>
      <c r="C13" t="s">
        <v>71</v>
      </c>
      <c r="D13" t="str">
        <f t="shared" si="0"/>
        <v>GENDER,</v>
      </c>
      <c r="E13" t="s">
        <v>121</v>
      </c>
      <c r="F13" t="s">
        <v>124</v>
      </c>
      <c r="G13" t="str">
        <f t="shared" si="1"/>
        <v>statementPG.setString(13, resultSet.getString("GENDER"));</v>
      </c>
    </row>
    <row r="14" spans="1:36" x14ac:dyDescent="0.3">
      <c r="A14">
        <v>14</v>
      </c>
      <c r="B14" t="s">
        <v>13</v>
      </c>
      <c r="C14" t="s">
        <v>72</v>
      </c>
      <c r="D14" t="str">
        <f t="shared" si="0"/>
        <v>RELATION_TYPE,</v>
      </c>
      <c r="E14" t="s">
        <v>118</v>
      </c>
      <c r="F14" t="s">
        <v>124</v>
      </c>
      <c r="G14" t="str">
        <f t="shared" si="1"/>
        <v>statementPG.setString(14, resultSet.getString("RELATION_TYPE"));</v>
      </c>
    </row>
    <row r="15" spans="1:36" x14ac:dyDescent="0.3">
      <c r="A15">
        <v>15</v>
      </c>
      <c r="B15" t="s">
        <v>14</v>
      </c>
      <c r="C15" t="s">
        <v>73</v>
      </c>
      <c r="D15" t="str">
        <f t="shared" si="0"/>
        <v>RELATION_NAME,</v>
      </c>
      <c r="E15" t="s">
        <v>118</v>
      </c>
      <c r="F15" t="s">
        <v>124</v>
      </c>
      <c r="G15" t="str">
        <f t="shared" si="1"/>
        <v>statementPG.setString(15, resultSet.getString("RELATION_NAME"));</v>
      </c>
    </row>
    <row r="16" spans="1:36" x14ac:dyDescent="0.3">
      <c r="A16">
        <v>16</v>
      </c>
      <c r="B16" t="s">
        <v>15</v>
      </c>
      <c r="C16" t="s">
        <v>74</v>
      </c>
      <c r="D16" t="str">
        <f t="shared" si="0"/>
        <v>RELATION_NAME_L1,</v>
      </c>
      <c r="E16" t="s">
        <v>118</v>
      </c>
      <c r="F16" t="s">
        <v>124</v>
      </c>
      <c r="G16" t="str">
        <f t="shared" si="1"/>
        <v>statementPG.setString(16, resultSet.getString("RELATION_NAME_L1"));</v>
      </c>
    </row>
    <row r="17" spans="1:7" x14ac:dyDescent="0.3">
      <c r="A17">
        <v>17</v>
      </c>
      <c r="B17" t="s">
        <v>16</v>
      </c>
      <c r="C17" t="s">
        <v>75</v>
      </c>
      <c r="D17" t="str">
        <f t="shared" si="0"/>
        <v>HOUSE_NUMBER,</v>
      </c>
      <c r="E17" t="s">
        <v>118</v>
      </c>
      <c r="F17" t="s">
        <v>124</v>
      </c>
      <c r="G17" t="str">
        <f t="shared" si="1"/>
        <v>statementPG.setString(17, resultSet.getString("HOUSE_NUMBER"));</v>
      </c>
    </row>
    <row r="18" spans="1:7" x14ac:dyDescent="0.3">
      <c r="A18">
        <v>18</v>
      </c>
      <c r="B18" t="s">
        <v>17</v>
      </c>
      <c r="C18" t="s">
        <v>76</v>
      </c>
      <c r="D18" t="str">
        <f t="shared" si="0"/>
        <v>DOB,</v>
      </c>
      <c r="E18" t="s">
        <v>121</v>
      </c>
      <c r="F18" t="s">
        <v>124</v>
      </c>
      <c r="G18" t="str">
        <f t="shared" si="1"/>
        <v>statementPG.setString(18, resultSet.getString("DOB"));</v>
      </c>
    </row>
    <row r="19" spans="1:7" x14ac:dyDescent="0.3">
      <c r="A19">
        <v>19</v>
      </c>
      <c r="B19" t="s">
        <v>18</v>
      </c>
      <c r="C19" t="s">
        <v>77</v>
      </c>
      <c r="D19" t="str">
        <f t="shared" si="0"/>
        <v>HOUSE_NO_OLD,</v>
      </c>
      <c r="E19" t="s">
        <v>118</v>
      </c>
      <c r="F19" t="s">
        <v>124</v>
      </c>
      <c r="G19" t="str">
        <f t="shared" si="1"/>
        <v>statementPG.setString(19, resultSet.getString("HOUSE_NO_OLD"));</v>
      </c>
    </row>
    <row r="20" spans="1:7" x14ac:dyDescent="0.3">
      <c r="A20">
        <v>20</v>
      </c>
      <c r="B20" t="s">
        <v>19</v>
      </c>
      <c r="C20" t="s">
        <v>78</v>
      </c>
      <c r="D20" t="str">
        <f t="shared" si="0"/>
        <v>STATUS_TYPE,</v>
      </c>
      <c r="E20" t="s">
        <v>121</v>
      </c>
      <c r="F20" t="s">
        <v>124</v>
      </c>
      <c r="G20" t="str">
        <f t="shared" si="1"/>
        <v>statementPG.setString(20, resultSet.getString("STATUS_TYPE"));</v>
      </c>
    </row>
    <row r="21" spans="1:7" x14ac:dyDescent="0.3">
      <c r="A21">
        <v>21</v>
      </c>
      <c r="B21" t="s">
        <v>20</v>
      </c>
      <c r="C21" t="s">
        <v>79</v>
      </c>
      <c r="D21" t="str">
        <f t="shared" si="0"/>
        <v>RELATION_L_NAME,</v>
      </c>
      <c r="E21" t="s">
        <v>118</v>
      </c>
      <c r="F21" t="s">
        <v>124</v>
      </c>
      <c r="G21" t="str">
        <f t="shared" si="1"/>
        <v>statementPG.setString(21, resultSet.getString("RELATION_L_NAME"));</v>
      </c>
    </row>
    <row r="22" spans="1:7" x14ac:dyDescent="0.3">
      <c r="A22">
        <v>22</v>
      </c>
      <c r="B22" t="s">
        <v>21</v>
      </c>
      <c r="C22" t="s">
        <v>80</v>
      </c>
      <c r="D22" t="str">
        <f t="shared" si="0"/>
        <v>RLN_L_NM_V1,</v>
      </c>
      <c r="E22" t="s">
        <v>118</v>
      </c>
      <c r="F22" t="s">
        <v>124</v>
      </c>
      <c r="G22" t="str">
        <f t="shared" si="1"/>
        <v>statementPG.setString(22, resultSet.getString("RLN_L_NM_V1"));</v>
      </c>
    </row>
    <row r="23" spans="1:7" x14ac:dyDescent="0.3">
      <c r="A23">
        <v>23</v>
      </c>
      <c r="B23" t="s">
        <v>22</v>
      </c>
      <c r="C23" t="s">
        <v>81</v>
      </c>
      <c r="D23" t="str">
        <f t="shared" si="0"/>
        <v>IS_ACTIVE,</v>
      </c>
      <c r="E23" t="s">
        <v>121</v>
      </c>
      <c r="F23" t="s">
        <v>124</v>
      </c>
      <c r="G23" t="str">
        <f t="shared" si="1"/>
        <v>statementPG.setString(23, resultSet.getString("IS_ACTIVE"));</v>
      </c>
    </row>
    <row r="24" spans="1:7" x14ac:dyDescent="0.3">
      <c r="A24">
        <v>24</v>
      </c>
      <c r="B24" t="s">
        <v>23</v>
      </c>
      <c r="C24" t="s">
        <v>82</v>
      </c>
      <c r="D24" t="str">
        <f t="shared" si="0"/>
        <v>REVISION_NO,</v>
      </c>
      <c r="E24" t="s">
        <v>120</v>
      </c>
      <c r="F24" t="s">
        <v>125</v>
      </c>
      <c r="G24" t="str">
        <f t="shared" si="1"/>
        <v>statementPG.setInt(24, resultSet.getInt("REVISION_NO"));</v>
      </c>
    </row>
    <row r="25" spans="1:7" x14ac:dyDescent="0.3">
      <c r="A25">
        <v>25</v>
      </c>
      <c r="B25" t="s">
        <v>24</v>
      </c>
      <c r="C25" t="s">
        <v>83</v>
      </c>
      <c r="D25" t="str">
        <f t="shared" si="0"/>
        <v>NOTIONAL_HNO,</v>
      </c>
      <c r="E25" t="s">
        <v>120</v>
      </c>
      <c r="F25" t="s">
        <v>125</v>
      </c>
      <c r="G25" t="str">
        <f t="shared" si="1"/>
        <v>statementPG.setInt(25, resultSet.getInt("NOTIONAL_HNO"));</v>
      </c>
    </row>
    <row r="26" spans="1:7" x14ac:dyDescent="0.3">
      <c r="A26">
        <v>26</v>
      </c>
      <c r="B26" t="s">
        <v>25</v>
      </c>
      <c r="C26" t="s">
        <v>84</v>
      </c>
      <c r="D26" t="str">
        <f t="shared" si="0"/>
        <v>HOUSE_NUMBER_L1,</v>
      </c>
      <c r="E26" t="s">
        <v>118</v>
      </c>
      <c r="F26" t="s">
        <v>124</v>
      </c>
      <c r="G26" t="str">
        <f t="shared" si="1"/>
        <v>statementPG.setString(26, resultSet.getString("HOUSE_NUMBER_L1"));</v>
      </c>
    </row>
    <row r="27" spans="1:7" x14ac:dyDescent="0.3">
      <c r="A27">
        <v>27</v>
      </c>
      <c r="B27" t="s">
        <v>26</v>
      </c>
      <c r="C27" t="s">
        <v>85</v>
      </c>
      <c r="D27" t="str">
        <f t="shared" si="0"/>
        <v>MOVED,</v>
      </c>
      <c r="E27" t="s">
        <v>121</v>
      </c>
      <c r="F27" t="s">
        <v>124</v>
      </c>
      <c r="G27" t="str">
        <f t="shared" si="1"/>
        <v>statementPG.setString(27, resultSet.getString("MOVED"));</v>
      </c>
    </row>
    <row r="28" spans="1:7" x14ac:dyDescent="0.3">
      <c r="A28">
        <v>28</v>
      </c>
      <c r="B28" t="s">
        <v>27</v>
      </c>
      <c r="C28" t="s">
        <v>86</v>
      </c>
      <c r="D28" t="str">
        <f t="shared" si="0"/>
        <v>ISADCVOTER,</v>
      </c>
      <c r="E28" t="s">
        <v>121</v>
      </c>
      <c r="F28" t="s">
        <v>124</v>
      </c>
      <c r="G28" t="str">
        <f t="shared" si="1"/>
        <v>statementPG.setString(28, resultSet.getString("ISADCVOTER"));</v>
      </c>
    </row>
    <row r="29" spans="1:7" x14ac:dyDescent="0.3">
      <c r="A29">
        <v>29</v>
      </c>
      <c r="B29" t="s">
        <v>28</v>
      </c>
      <c r="C29" t="s">
        <v>87</v>
      </c>
      <c r="D29" t="str">
        <f t="shared" si="0"/>
        <v>PHOTO,</v>
      </c>
      <c r="E29" t="s">
        <v>122</v>
      </c>
      <c r="F29" t="s">
        <v>126</v>
      </c>
      <c r="G29" t="str">
        <f t="shared" si="1"/>
        <v>statementPG.setBytes(29, resultSet.getBytes("PHOTO"));</v>
      </c>
    </row>
    <row r="30" spans="1:7" x14ac:dyDescent="0.3">
      <c r="A30">
        <v>30</v>
      </c>
      <c r="B30" t="s">
        <v>29</v>
      </c>
    </row>
    <row r="31" spans="1:7" x14ac:dyDescent="0.3">
      <c r="A31">
        <v>31</v>
      </c>
      <c r="B31" t="s">
        <v>30</v>
      </c>
    </row>
    <row r="32" spans="1:7" x14ac:dyDescent="0.3">
      <c r="A32">
        <v>32</v>
      </c>
      <c r="B32" t="s">
        <v>31</v>
      </c>
    </row>
    <row r="33" spans="1:2" x14ac:dyDescent="0.3">
      <c r="A33">
        <v>33</v>
      </c>
      <c r="B33" t="s">
        <v>32</v>
      </c>
    </row>
    <row r="34" spans="1:2" x14ac:dyDescent="0.3">
      <c r="A34">
        <v>34</v>
      </c>
      <c r="B34" t="s">
        <v>33</v>
      </c>
    </row>
    <row r="35" spans="1:2" x14ac:dyDescent="0.3">
      <c r="A35">
        <v>35</v>
      </c>
      <c r="B35" t="s">
        <v>34</v>
      </c>
    </row>
    <row r="36" spans="1:2" x14ac:dyDescent="0.3">
      <c r="A36">
        <v>36</v>
      </c>
      <c r="B36" t="s">
        <v>35</v>
      </c>
    </row>
    <row r="37" spans="1:2" x14ac:dyDescent="0.3">
      <c r="A37">
        <v>37</v>
      </c>
      <c r="B37" t="s">
        <v>36</v>
      </c>
    </row>
    <row r="38" spans="1:2" x14ac:dyDescent="0.3">
      <c r="A38">
        <v>38</v>
      </c>
      <c r="B38" t="s">
        <v>37</v>
      </c>
    </row>
    <row r="39" spans="1:2" x14ac:dyDescent="0.3">
      <c r="A39">
        <v>39</v>
      </c>
      <c r="B39" t="s">
        <v>38</v>
      </c>
    </row>
    <row r="40" spans="1:2" x14ac:dyDescent="0.3">
      <c r="A40">
        <v>40</v>
      </c>
      <c r="B40" t="s">
        <v>39</v>
      </c>
    </row>
    <row r="41" spans="1:2" x14ac:dyDescent="0.3">
      <c r="A41">
        <v>41</v>
      </c>
      <c r="B41" t="s">
        <v>40</v>
      </c>
    </row>
    <row r="42" spans="1:2" x14ac:dyDescent="0.3">
      <c r="A42">
        <v>42</v>
      </c>
      <c r="B42" t="s">
        <v>41</v>
      </c>
    </row>
    <row r="43" spans="1:2" x14ac:dyDescent="0.3">
      <c r="A43">
        <v>43</v>
      </c>
      <c r="B43" t="s">
        <v>42</v>
      </c>
    </row>
    <row r="44" spans="1:2" x14ac:dyDescent="0.3">
      <c r="A44">
        <v>44</v>
      </c>
      <c r="B44" t="s">
        <v>43</v>
      </c>
    </row>
    <row r="45" spans="1:2" x14ac:dyDescent="0.3">
      <c r="A45">
        <v>45</v>
      </c>
      <c r="B45" t="s">
        <v>44</v>
      </c>
    </row>
    <row r="46" spans="1:2" x14ac:dyDescent="0.3">
      <c r="A46">
        <v>46</v>
      </c>
      <c r="B46" t="s">
        <v>45</v>
      </c>
    </row>
    <row r="47" spans="1:2" x14ac:dyDescent="0.3">
      <c r="A47">
        <v>47</v>
      </c>
      <c r="B47" t="s">
        <v>46</v>
      </c>
    </row>
    <row r="48" spans="1:2" x14ac:dyDescent="0.3">
      <c r="A48">
        <v>48</v>
      </c>
      <c r="B48" t="s">
        <v>47</v>
      </c>
    </row>
    <row r="49" spans="1:2" x14ac:dyDescent="0.3">
      <c r="A49">
        <v>49</v>
      </c>
      <c r="B49" t="s">
        <v>48</v>
      </c>
    </row>
    <row r="50" spans="1:2" x14ac:dyDescent="0.3">
      <c r="A50">
        <v>50</v>
      </c>
      <c r="B50" t="s">
        <v>49</v>
      </c>
    </row>
    <row r="51" spans="1:2" x14ac:dyDescent="0.3">
      <c r="A51">
        <v>51</v>
      </c>
      <c r="B51" t="s">
        <v>50</v>
      </c>
    </row>
    <row r="52" spans="1:2" x14ac:dyDescent="0.3">
      <c r="A52">
        <v>52</v>
      </c>
      <c r="B52" t="s">
        <v>51</v>
      </c>
    </row>
    <row r="53" spans="1:2" x14ac:dyDescent="0.3">
      <c r="A53">
        <v>53</v>
      </c>
      <c r="B53" t="s">
        <v>52</v>
      </c>
    </row>
    <row r="54" spans="1:2" x14ac:dyDescent="0.3">
      <c r="A54">
        <v>54</v>
      </c>
      <c r="B54" t="s">
        <v>53</v>
      </c>
    </row>
    <row r="55" spans="1:2" x14ac:dyDescent="0.3">
      <c r="A55">
        <v>55</v>
      </c>
      <c r="B55" t="s">
        <v>54</v>
      </c>
    </row>
    <row r="56" spans="1:2" x14ac:dyDescent="0.3">
      <c r="A56">
        <v>56</v>
      </c>
      <c r="B56" t="s">
        <v>55</v>
      </c>
    </row>
    <row r="57" spans="1:2" x14ac:dyDescent="0.3">
      <c r="A57">
        <v>57</v>
      </c>
      <c r="B57" t="s">
        <v>56</v>
      </c>
    </row>
    <row r="58" spans="1:2" x14ac:dyDescent="0.3">
      <c r="A58">
        <v>58</v>
      </c>
      <c r="B58" t="s">
        <v>57</v>
      </c>
    </row>
    <row r="59" spans="1:2" x14ac:dyDescent="0.3">
      <c r="A59">
        <v>59</v>
      </c>
      <c r="B59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</dc:creator>
  <cp:lastModifiedBy>Avijit</cp:lastModifiedBy>
  <dcterms:created xsi:type="dcterms:W3CDTF">2024-12-22T15:45:22Z</dcterms:created>
  <dcterms:modified xsi:type="dcterms:W3CDTF">2024-12-22T16:34:26Z</dcterms:modified>
</cp:coreProperties>
</file>